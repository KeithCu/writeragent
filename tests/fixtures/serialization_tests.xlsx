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ialization_tests" sheetId="1" state="visible" r:id="rId3"/>
  </sheets>
  <definedNames>
    <definedName function="true" hidden="false" name="org.extension.writeragent.PythonFunction.python" vbProcedure="true">#NAME?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<sst xmlns="http://schemas.openxmlformats.org/spreadsheetml/2006/main" count="218" uniqueCount="147">
  <si>
    <t xml:space="preserve">test_id</t>
  </si>
  <si>
    <t xml:space="preserve">description</t>
  </si>
  <si>
    <t xml:space="preserve">tags</t>
  </si>
  <si>
    <t xml:space="preserve">col_1</t>
  </si>
  <si>
    <t xml:space="preserve">col_2</t>
  </si>
  <si>
    <t xml:space="preserve">col_3</t>
  </si>
  <si>
    <t xml:space="preserve">col_4</t>
  </si>
  <si>
    <t xml:space="preserve">col_5</t>
  </si>
  <si>
    <t xml:space="preserve">col_6</t>
  </si>
  <si>
    <t xml:space="preserve">col_7</t>
  </si>
  <si>
    <t xml:space="preserve">col_8</t>
  </si>
  <si>
    <t xml:space="preserve">col_9</t>
  </si>
  <si>
    <t xml:space="preserve">col_10</t>
  </si>
  <si>
    <t xml:space="preserve">calc_oracle</t>
  </si>
  <si>
    <t xml:space="preserve">compare_pass_fail</t>
  </si>
  <si>
    <t xml:space="preserve">expected</t>
  </si>
  <si>
    <t xml:space="preserve">notes</t>
  </si>
  <si>
    <t xml:space="preserve">PYTHON_formula</t>
  </si>
  <si>
    <t xml:space="preserve">[normal]</t>
  </si>
  <si>
    <t xml:space="preserve">scalar_single_cell</t>
  </si>
  <si>
    <t xml:space="preserve">Single cell constant (no data range)</t>
  </si>
  <si>
    <t xml:space="preserve">scalar</t>
  </si>
  <si>
    <t xml:space="preserve">42</t>
  </si>
  <si>
    <t xml:space="preserve">scalar_row_sum</t>
  </si>
  <si>
    <t xml:space="preserve">Row vector SUM — flat data, floats (1+2+3+4=10)</t>
  </si>
  <si>
    <t xml:space="preserve">flat,below_threshold,float</t>
  </si>
  <si>
    <t xml:space="preserve">10.0</t>
  </si>
  <si>
    <t xml:space="preserve">row_1</t>
  </si>
  <si>
    <t xml:space="preserve">scalar_col_sum</t>
  </si>
  <si>
    <t xml:space="preserve">Column vector SUM — flat data (1+2+3+4=10)</t>
  </si>
  <si>
    <t xml:space="preserve">flat,float</t>
  </si>
  <si>
    <t xml:space="preserve">row_2</t>
  </si>
  <si>
    <t xml:space="preserve">row_3</t>
  </si>
  <si>
    <t xml:space="preserve">row_4</t>
  </si>
  <si>
    <t xml:space="preserve">row_int_float_sum</t>
  </si>
  <si>
    <t xml:space="preserve">Row with ints + floats — SUM (100+2.5+3+4.5=110)</t>
  </si>
  <si>
    <t xml:space="preserve">flat,int,float,below_threshold</t>
  </si>
  <si>
    <t xml:space="preserve">110.0</t>
  </si>
  <si>
    <t xml:space="preserve">grid_3x3_sum</t>
  </si>
  <si>
    <t xml:space="preserve">3×3 SUM — nested list wire (&lt;10 cells)</t>
  </si>
  <si>
    <t xml:space="preserve">below_threshold</t>
  </si>
  <si>
    <t xml:space="preserve">45.0</t>
  </si>
  <si>
    <t xml:space="preserve">9 cells: nested-list wire, not split_grid. SUM 1..9 = 45.</t>
  </si>
  <si>
    <t xml:space="preserve">grid_2x5_sum</t>
  </si>
  <si>
    <t xml:space="preserve">2×5 SUM — split_grid at exactly 10 cells (boundary)</t>
  </si>
  <si>
    <t xml:space="preserve">split_grid,boundary</t>
  </si>
  <si>
    <t xml:space="preserve">55.0</t>
  </si>
  <si>
    <t xml:space="preserve">10 cells: first size that uses split_grid (BINARY_MIN_CELLS). SUM 1..10 = 55.</t>
  </si>
  <si>
    <t xml:space="preserve">grid_4x4_sum</t>
  </si>
  <si>
    <t xml:space="preserve">4×4 SUM — split_grid ingress (≥10 cells)</t>
  </si>
  <si>
    <t xml:space="preserve">split_grid</t>
  </si>
  <si>
    <t xml:space="preserve">136.0</t>
  </si>
  <si>
    <t xml:space="preserve">16 cells: split_grid wire. SUM 1..16 = 136.</t>
  </si>
  <si>
    <t xml:space="preserve">grid_4x3_int_sum</t>
  </si>
  <si>
    <t xml:space="preserve">4×3 integer SUM — split_grid, all whole numbers</t>
  </si>
  <si>
    <t xml:space="preserve">split_grid,int</t>
  </si>
  <si>
    <t xml:space="preserve">78.0</t>
  </si>
  <si>
    <t xml:space="preserve">12 cells, values 1..12. SUM = 78.</t>
  </si>
  <si>
    <t xml:space="preserve">grid_4x4_max</t>
  </si>
  <si>
    <t xml:space="preserve">4×4 MAX spot-check — split_grid (answer is 16)</t>
  </si>
  <si>
    <t xml:space="preserve">16.0</t>
  </si>
  <si>
    <t xml:space="preserve">Easy eyeball check: max of 1..16 is 16.</t>
  </si>
  <si>
    <t xml:space="preserve">bool_true</t>
  </si>
  <si>
    <t xml:space="preserve">Calc logical TRUE — SUM treats as 1</t>
  </si>
  <si>
    <t xml:space="preserve">bool,below_threshold</t>
  </si>
  <si>
    <t xml:space="preserve">1.0</t>
  </si>
  <si>
    <t xml:space="preserve">Manual sheet uses 1/0 (Calc logical SUM semantics; import does not run =TRUE()).</t>
  </si>
  <si>
    <t xml:space="preserve">bool_false</t>
  </si>
  <si>
    <t xml:space="preserve">Calc logical FALSE — SUM treats as 0</t>
  </si>
  <si>
    <t xml:space="preserve">0.0</t>
  </si>
  <si>
    <t xml:space="preserve">Manual sheet uses 1/0 (Calc logical SUM semantics; import does not run =FALSE()).</t>
  </si>
  <si>
    <t xml:space="preserve">bool_col_11_sum</t>
  </si>
  <si>
    <t xml:space="preserve">11 logical values — split_grid SUM (7 TRUE + 4 FALSE = 7)</t>
  </si>
  <si>
    <t xml:space="preserve">split_grid,bool</t>
  </si>
  <si>
    <t xml:space="preserve">7.0</t>
  </si>
  <si>
    <t xml:space="preserve">11 cells forces split_grid; sheet uses 1/0 per cell.</t>
  </si>
  <si>
    <t xml:space="preserve">row_5</t>
  </si>
  <si>
    <t xml:space="preserve">row_6</t>
  </si>
  <si>
    <t xml:space="preserve">row_7</t>
  </si>
  <si>
    <t xml:space="preserve">row_8</t>
  </si>
  <si>
    <t xml:space="preserve">row_9</t>
  </si>
  <si>
    <t xml:space="preserve">row_10</t>
  </si>
  <si>
    <t xml:space="preserve">row_11</t>
  </si>
  <si>
    <t xml:space="preserve">[multi]</t>
  </si>
  <si>
    <t xml:space="preserve">multi_two_2x2_sum</t>
  </si>
  <si>
    <t xml:space="preserve">Two 2×2 ranges — combined SUM (1+2+3+4+5+6+7+8=36)</t>
  </si>
  <si>
    <t xml:space="preserve">multi_range,varargs,below_threshold</t>
  </si>
  <si>
    <t xml:space="preserve">36.0</t>
  </si>
  <si>
    <t xml:space="preserve">data[0] and data[1] are 2×2; oracle =SUM(r1,r2).</t>
  </si>
  <si>
    <t xml:space="preserve">multi_2x1_plus_1x2</t>
  </si>
  <si>
    <t xml:space="preserve">2×1 column + 1×2 row — shape mismatch (1+2+3+4=10)</t>
  </si>
  <si>
    <t xml:space="preserve">Exercises list-of-grids wire (not one 2D block).</t>
  </si>
  <si>
    <t xml:space="preserve">multi_two_rows_sum</t>
  </si>
  <si>
    <t xml:space="preserve">Two 1×3 rows — flat per-range lists (1+2+3+4+5+6=21)</t>
  </si>
  <si>
    <t xml:space="preserve">multi_range,varargs,flat,below_threshold</t>
  </si>
  <si>
    <t xml:space="preserve">21.0</t>
  </si>
  <si>
    <t xml:space="preserve">multi_scalar_plus_row</t>
  </si>
  <si>
    <t xml:space="preserve">Single cell + 1×3 row — scalar range + flat list (5+1+2+3=11)</t>
  </si>
  <si>
    <t xml:space="preserve">11.0</t>
  </si>
  <si>
    <t xml:space="preserve">multi_mixed_small</t>
  </si>
  <si>
    <t xml:space="preserve">Mixed 2×2 + numeric 1×1 — numeric-only sum (1+2+3=6)</t>
  </si>
  <si>
    <t xml:space="preserve">multi_range,varargs,mixed,below_threshold</t>
  </si>
  <si>
    <t xml:space="preserve">6.0</t>
  </si>
  <si>
    <t xml:space="preserve">Strings in range 1; Calc SUM skips text in oracle cells.</t>
  </si>
  <si>
    <t xml:space="preserve">a</t>
  </si>
  <si>
    <t xml:space="preserve">b</t>
  </si>
  <si>
    <t xml:space="preserve">[mixed]</t>
  </si>
  <si>
    <t xml:space="preserve">mixed_zip_first</t>
  </si>
  <si>
    <t xml:space="preserve">First cell zip text — INDEX must stay 02138</t>
  </si>
  <si>
    <t xml:space="preserve">zip_code,mixed,below_threshold</t>
  </si>
  <si>
    <t xml:space="preserve">02138</t>
  </si>
  <si>
    <t xml:space="preserve">calc_oracle =INDEX picks first cell; must remain text.</t>
  </si>
  <si>
    <t xml:space="preserve">mixed_cols_sum</t>
  </si>
  <si>
    <t xml:space="preserve">Mixed grid SUM — Calc ignores text (1+10+2+20+…=110)</t>
  </si>
  <si>
    <t xml:space="preserve">mixed,split_grid</t>
  </si>
  <si>
    <t xml:space="preserve">Same SUM oracle as numeric tests; Calc skips label cells.</t>
  </si>
  <si>
    <t xml:space="preserve">label</t>
  </si>
  <si>
    <t xml:space="preserve">x</t>
  </si>
  <si>
    <t xml:space="preserve">y</t>
  </si>
  <si>
    <t xml:space="preserve">z</t>
  </si>
  <si>
    <t xml:space="preserve">mixed_unicode_label</t>
  </si>
  <si>
    <t xml:space="preserve">Unicode first cell — INDEX must stay São Paulo</t>
  </si>
  <si>
    <t xml:space="preserve">mixed,unicode,split_grid</t>
  </si>
  <si>
    <t xml:space="preserve">São Paulo</t>
  </si>
  <si>
    <t xml:space="preserve">北京</t>
  </si>
  <si>
    <t xml:space="preserve">[grid]</t>
  </si>
  <si>
    <t xml:space="preserve">grid_return_double</t>
  </si>
  <si>
    <t xml:space="preserve">Return data×2 — INDEX oracle per cell</t>
  </si>
  <si>
    <t xml:space="preserve">split_grid,egress_grid</t>
  </si>
  <si>
    <t xml:space="preserve">matrix: Ctrl+Shift+Enter over 4x4 block in R; each cell should match N</t>
  </si>
  <si>
    <t xml:space="preserve">Matrix formula; each cell should match INDEX×2.</t>
  </si>
  <si>
    <t xml:space="preserve">grid_return_identity</t>
  </si>
  <si>
    <t xml:space="preserve">Echo input grid — INDEX identity round-trip</t>
  </si>
  <si>
    <t xml:space="preserve">Matrix block should reproduce the 4×4 input.</t>
  </si>
  <si>
    <t xml:space="preserve">[nan]</t>
  </si>
  <si>
    <t xml:space="preserve">nan_holes_nansum</t>
  </si>
  <si>
    <t xml:space="preserve">4×4 with empty cells — SUM / nansum (104)</t>
  </si>
  <si>
    <t xml:space="preserve">split_grid,empty,nan</t>
  </si>
  <si>
    <t xml:space="preserve">104.0</t>
  </si>
  <si>
    <t xml:space="preserve">Empty cells → NaN on wire; Calc SUM skips blanks as 0.</t>
  </si>
  <si>
    <t xml:space="preserve">[errors]</t>
  </si>
  <si>
    <t xml:space="preserve">error_syntax</t>
  </si>
  <si>
    <t xml:space="preserve">Python syntax error → Error: in cell</t>
  </si>
  <si>
    <t xml:space="preserve">error</t>
  </si>
  <si>
    <t xml:space="preserve">Error:</t>
  </si>
  <si>
    <t xml:space="preserve">error_bad_import</t>
  </si>
  <si>
    <t xml:space="preserve">Blocked import → Error: in cell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</si>
</sst>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Noto Sans CJK JP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7" activePane="bottomLeft" state="frozen"/>
      <selection pane="topLeft" activeCell="A1" activeCellId="0" sqref="A1"/>
      <selection pane="bottomLeft" activeCell="R18" activeCellId="0" sqref="R18"/>
    </sheetView>
  </sheetViews>
  <sheetFormatPr defaultColWidth="8.22656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13" min="4" style="0" width="4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18" min="18" style="0" width="48"/>
  </cols>
  <sheetData>
    <row r="1" customFormat="false" ht="17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</row>
    <row r="2" customFormat="false" ht="15" hidden="false" customHeight="fals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.5" hidden="false" customHeight="false" outlineLevel="0" collapsed="false">
      <c r="A3" s="0" t="s">
        <v>19</v>
      </c>
      <c r="B3" s="4" t="s">
        <v>20</v>
      </c>
      <c r="C3" s="0" t="s">
        <v>21</v>
      </c>
      <c r="N3" s="0" t="s">
        <v>22</v>
      </c>
      <c r="O3" s="0" t="str">
        <f aca="false">IF(ABS(N3-R3)&lt;0.001,"PASS","FAIL")</f>
        <v>PASS</v>
      </c>
      <c r="P3" s="0" t="s">
        <v>22</v>
      </c>
      <c r="R3" s="4" t="n">
        <f aca="false">ORG.EXTENSION.WRITERAGENT.PYTHONFUNCTION.PYTHON("42")</f>
        <v>42</v>
      </c>
    </row>
    <row r="5" customFormat="false" ht="29" hidden="false" customHeight="false" outlineLevel="0" collapsed="false">
      <c r="A5" s="0" t="s">
        <v>23</v>
      </c>
      <c r="B5" s="4" t="s">
        <v>24</v>
      </c>
      <c r="C5" s="0" t="s">
        <v>25</v>
      </c>
      <c r="N5" s="0" t="n">
        <f aca="false">SUM(D6:G6)</f>
        <v>10</v>
      </c>
      <c r="O5" s="0" t="str">
        <f aca="false">IF(ABS(N5-R5)&lt;0.001,"PASS","FAIL")</f>
        <v>PASS</v>
      </c>
      <c r="P5" s="0" t="s">
        <v>26</v>
      </c>
      <c r="R5" s="4" t="n">
        <f aca="false">ORG.EXTENSION.WRITERAGENT.PYTHONFUNCTION.PYTHON("np.sum(data)",D6:G6)</f>
        <v>10</v>
      </c>
    </row>
    <row r="6" customFormat="false" ht="15" hidden="false" customHeight="false" outlineLevel="0" collapsed="false">
      <c r="A6" s="0" t="s">
        <v>27</v>
      </c>
      <c r="D6" s="0" t="n">
        <v>1</v>
      </c>
      <c r="E6" s="0" t="n">
        <v>2</v>
      </c>
      <c r="F6" s="0" t="n">
        <v>3</v>
      </c>
      <c r="G6" s="0" t="n">
        <v>4</v>
      </c>
    </row>
    <row r="8" customFormat="false" ht="29" hidden="false" customHeight="false" outlineLevel="0" collapsed="false">
      <c r="A8" s="0" t="s">
        <v>28</v>
      </c>
      <c r="B8" s="4" t="s">
        <v>29</v>
      </c>
      <c r="C8" s="0" t="s">
        <v>30</v>
      </c>
      <c r="N8" s="0" t="n">
        <f aca="false">SUM(D9:D12)</f>
        <v>10</v>
      </c>
      <c r="O8" s="0" t="str">
        <f aca="false">IF(ABS(N8-R8)&lt;0.001,"PASS","FAIL")</f>
        <v>PASS</v>
      </c>
      <c r="P8" s="0" t="s">
        <v>26</v>
      </c>
      <c r="R8" s="4" t="n">
        <f aca="false">ORG.EXTENSION.WRITERAGENT.PYTHONFUNCTION.PYTHON("np.sum(data)",D9:D12)</f>
        <v>10</v>
      </c>
    </row>
    <row r="9" customFormat="false" ht="15" hidden="false" customHeight="false" outlineLevel="0" collapsed="false">
      <c r="A9" s="0" t="s">
        <v>27</v>
      </c>
      <c r="D9" s="0" t="n">
        <v>1</v>
      </c>
    </row>
    <row r="10" customFormat="false" ht="15" hidden="false" customHeight="false" outlineLevel="0" collapsed="false">
      <c r="A10" s="0" t="s">
        <v>31</v>
      </c>
      <c r="D10" s="0" t="n">
        <v>2</v>
      </c>
    </row>
    <row r="11" customFormat="false" ht="15" hidden="false" customHeight="false" outlineLevel="0" collapsed="false">
      <c r="A11" s="0" t="s">
        <v>32</v>
      </c>
      <c r="D11" s="0" t="n">
        <v>3</v>
      </c>
    </row>
    <row r="12" customFormat="false" ht="15" hidden="false" customHeight="false" outlineLevel="0" collapsed="false">
      <c r="A12" s="0" t="s">
        <v>33</v>
      </c>
      <c r="D12" s="0" t="n">
        <v>4</v>
      </c>
    </row>
    <row r="14" customFormat="false" ht="29" hidden="false" customHeight="false" outlineLevel="0" collapsed="false">
      <c r="A14" s="0" t="s">
        <v>34</v>
      </c>
      <c r="B14" s="4" t="s">
        <v>35</v>
      </c>
      <c r="C14" s="0" t="s">
        <v>36</v>
      </c>
      <c r="N14" s="0" t="n">
        <f aca="false">SUM(D15:G15)</f>
        <v>110</v>
      </c>
      <c r="O14" s="0" t="str">
        <f aca="false">IF(ABS(N14-R14)&lt;0.001,"PASS","FAIL")</f>
        <v>PASS</v>
      </c>
      <c r="P14" s="0" t="s">
        <v>37</v>
      </c>
      <c r="R14" s="4" t="n">
        <f aca="false">ORG.EXTENSION.WRITERAGENT.PYTHONFUNCTION.PYTHON("np.sum(data)",D15:G15)</f>
        <v>110</v>
      </c>
    </row>
    <row r="15" customFormat="false" ht="15" hidden="false" customHeight="false" outlineLevel="0" collapsed="false">
      <c r="A15" s="0" t="s">
        <v>27</v>
      </c>
      <c r="D15" s="0" t="n">
        <v>100</v>
      </c>
      <c r="E15" s="0" t="n">
        <v>2.5</v>
      </c>
      <c r="F15" s="0" t="n">
        <v>3</v>
      </c>
      <c r="G15" s="0" t="n">
        <v>4.5</v>
      </c>
    </row>
    <row r="17" customFormat="false" ht="29" hidden="false" customHeight="false" outlineLevel="0" collapsed="false">
      <c r="A17" s="0" t="s">
        <v>38</v>
      </c>
      <c r="B17" s="4" t="s">
        <v>39</v>
      </c>
      <c r="C17" s="0" t="s">
        <v>40</v>
      </c>
      <c r="N17" s="0" t="n">
        <f aca="false">SUM(D18:F20)</f>
        <v>45</v>
      </c>
      <c r="O17" s="0" t="str">
        <f aca="false">IF(ABS(N17-R17)&lt;0.001,"PASS","FAIL")</f>
        <v>PASS</v>
      </c>
      <c r="P17" s="0" t="s">
        <v>41</v>
      </c>
      <c r="Q17" s="4" t="s">
        <v>42</v>
      </c>
      <c r="R17" s="4" t="n">
        <f aca="false">ORG.EXTENSION.WRITERAGENT.PYTHONFUNCTION.PYTHON("np.sum(data)",D18:F20)</f>
        <v>45</v>
      </c>
    </row>
    <row r="18" customFormat="false" ht="15" hidden="false" customHeight="false" outlineLevel="0" collapsed="false">
      <c r="A18" s="0" t="s">
        <v>27</v>
      </c>
      <c r="D18" s="0" t="n">
        <v>1</v>
      </c>
      <c r="E18" s="0" t="n">
        <v>2</v>
      </c>
      <c r="F18" s="0" t="n">
        <v>3</v>
      </c>
    </row>
    <row r="19" customFormat="false" ht="15" hidden="false" customHeight="false" outlineLevel="0" collapsed="false">
      <c r="A19" s="0" t="s">
        <v>31</v>
      </c>
      <c r="D19" s="0" t="n">
        <v>4</v>
      </c>
      <c r="E19" s="0" t="n">
        <v>5</v>
      </c>
      <c r="F19" s="0" t="n">
        <v>6</v>
      </c>
    </row>
    <row r="20" customFormat="false" ht="15" hidden="false" customHeight="false" outlineLevel="0" collapsed="false">
      <c r="A20" s="0" t="s">
        <v>32</v>
      </c>
      <c r="D20" s="0" t="n">
        <v>7</v>
      </c>
      <c r="E20" s="0" t="n">
        <v>8</v>
      </c>
      <c r="F20" s="0" t="n">
        <v>9</v>
      </c>
    </row>
    <row r="22" customFormat="false" ht="42.5" hidden="false" customHeight="false" outlineLevel="0" collapsed="false">
      <c r="A22" s="0" t="s">
        <v>43</v>
      </c>
      <c r="B22" s="4" t="s">
        <v>44</v>
      </c>
      <c r="C22" s="0" t="s">
        <v>45</v>
      </c>
      <c r="N22" s="0" t="n">
        <f aca="false">SUM(D23:H24)</f>
        <v>55</v>
      </c>
      <c r="O22" s="0" t="str">
        <f aca="false">IF(ABS(N22-R22)&lt;0.001,"PASS","FAIL")</f>
        <v>PASS</v>
      </c>
      <c r="P22" s="0" t="s">
        <v>46</v>
      </c>
      <c r="Q22" s="4" t="s">
        <v>47</v>
      </c>
      <c r="R22" s="4" t="n">
        <f aca="false">ORG.EXTENSION.WRITERAGENT.PYTHONFUNCTION.PYTHON("np.sum(data)",D23:H24)</f>
        <v>55</v>
      </c>
    </row>
    <row r="23" customFormat="false" ht="15" hidden="false" customHeight="false" outlineLevel="0" collapsed="false">
      <c r="A23" s="0" t="s">
        <v>27</v>
      </c>
      <c r="D23" s="0" t="n">
        <v>1</v>
      </c>
      <c r="E23" s="0" t="n">
        <v>2</v>
      </c>
      <c r="F23" s="0" t="n">
        <v>3</v>
      </c>
      <c r="G23" s="0" t="n">
        <v>4</v>
      </c>
      <c r="H23" s="0" t="n">
        <v>5</v>
      </c>
    </row>
    <row r="24" customFormat="false" ht="15" hidden="false" customHeight="false" outlineLevel="0" collapsed="false">
      <c r="A24" s="0" t="s">
        <v>31</v>
      </c>
      <c r="D24" s="0" t="n">
        <v>6</v>
      </c>
      <c r="E24" s="0" t="n">
        <v>7</v>
      </c>
      <c r="F24" s="0" t="n">
        <v>8</v>
      </c>
      <c r="G24" s="0" t="n">
        <v>9</v>
      </c>
      <c r="H24" s="0" t="n">
        <v>10</v>
      </c>
    </row>
    <row r="26" customFormat="false" ht="29" hidden="false" customHeight="false" outlineLevel="0" collapsed="false">
      <c r="A26" s="0" t="s">
        <v>48</v>
      </c>
      <c r="B26" s="4" t="s">
        <v>49</v>
      </c>
      <c r="C26" s="0" t="s">
        <v>50</v>
      </c>
      <c r="N26" s="0" t="n">
        <f aca="false">SUM(D27:G30)</f>
        <v>136</v>
      </c>
      <c r="O26" s="0" t="str">
        <f aca="false">IF(ABS(N26-R26)&lt;0.001,"PASS","FAIL")</f>
        <v>PASS</v>
      </c>
      <c r="P26" s="0" t="s">
        <v>51</v>
      </c>
      <c r="Q26" s="4" t="s">
        <v>52</v>
      </c>
      <c r="R26" s="4" t="n">
        <f aca="false">ORG.EXTENSION.WRITERAGENT.PYTHONFUNCTION.PYTHON("np.sum(data)",D27:G30)</f>
        <v>136</v>
      </c>
    </row>
    <row r="27" customFormat="false" ht="15" hidden="false" customHeight="false" outlineLevel="0" collapsed="false">
      <c r="A27" s="0" t="s">
        <v>27</v>
      </c>
      <c r="D27" s="0" t="n">
        <v>1</v>
      </c>
      <c r="E27" s="0" t="n">
        <v>2</v>
      </c>
      <c r="F27" s="0" t="n">
        <v>3</v>
      </c>
      <c r="G27" s="0" t="n">
        <v>4</v>
      </c>
    </row>
    <row r="28" customFormat="false" ht="15" hidden="false" customHeight="false" outlineLevel="0" collapsed="false">
      <c r="A28" s="0" t="s">
        <v>31</v>
      </c>
      <c r="D28" s="0" t="n">
        <v>5</v>
      </c>
      <c r="E28" s="0" t="n">
        <v>6</v>
      </c>
      <c r="F28" s="0" t="n">
        <v>7</v>
      </c>
      <c r="G28" s="0" t="n">
        <v>8</v>
      </c>
    </row>
    <row r="29" customFormat="false" ht="15" hidden="false" customHeight="false" outlineLevel="0" collapsed="false">
      <c r="A29" s="0" t="s">
        <v>32</v>
      </c>
      <c r="D29" s="0" t="n">
        <v>9</v>
      </c>
      <c r="E29" s="0" t="n">
        <v>10</v>
      </c>
      <c r="F29" s="0" t="n">
        <v>11</v>
      </c>
      <c r="G29" s="0" t="n">
        <v>12</v>
      </c>
    </row>
    <row r="30" customFormat="false" ht="15" hidden="false" customHeight="false" outlineLevel="0" collapsed="false">
      <c r="A30" s="0" t="s">
        <v>33</v>
      </c>
      <c r="D30" s="0" t="n">
        <v>13</v>
      </c>
      <c r="E30" s="0" t="n">
        <v>14</v>
      </c>
      <c r="F30" s="0" t="n">
        <v>15</v>
      </c>
      <c r="G30" s="0" t="n">
        <v>16</v>
      </c>
    </row>
    <row r="32" customFormat="false" ht="29" hidden="false" customHeight="false" outlineLevel="0" collapsed="false">
      <c r="A32" s="0" t="s">
        <v>53</v>
      </c>
      <c r="B32" s="4" t="s">
        <v>54</v>
      </c>
      <c r="C32" s="0" t="s">
        <v>55</v>
      </c>
      <c r="N32" s="0" t="n">
        <f aca="false">SUM(D33:F36)</f>
        <v>78</v>
      </c>
      <c r="O32" s="0" t="str">
        <f aca="false">IF(ABS(N32-R32)&lt;0.001,"PASS","FAIL")</f>
        <v>PASS</v>
      </c>
      <c r="P32" s="0" t="s">
        <v>56</v>
      </c>
      <c r="Q32" s="4" t="s">
        <v>57</v>
      </c>
      <c r="R32" s="4" t="n">
        <f aca="false">ORG.EXTENSION.WRITERAGENT.PYTHONFUNCTION.PYTHON("np.sum(data)",D33:F36)</f>
        <v>78</v>
      </c>
    </row>
    <row r="33" customFormat="false" ht="15" hidden="false" customHeight="false" outlineLevel="0" collapsed="false">
      <c r="A33" s="0" t="s">
        <v>27</v>
      </c>
      <c r="D33" s="0" t="n">
        <v>1</v>
      </c>
      <c r="E33" s="0" t="n">
        <v>2</v>
      </c>
      <c r="F33" s="0" t="n">
        <v>3</v>
      </c>
    </row>
    <row r="34" customFormat="false" ht="15" hidden="false" customHeight="false" outlineLevel="0" collapsed="false">
      <c r="A34" s="0" t="s">
        <v>31</v>
      </c>
      <c r="D34" s="0" t="n">
        <v>4</v>
      </c>
      <c r="E34" s="0" t="n">
        <v>5</v>
      </c>
      <c r="F34" s="0" t="n">
        <v>6</v>
      </c>
    </row>
    <row r="35" customFormat="false" ht="15" hidden="false" customHeight="false" outlineLevel="0" collapsed="false">
      <c r="A35" s="0" t="s">
        <v>32</v>
      </c>
      <c r="D35" s="0" t="n">
        <v>7</v>
      </c>
      <c r="E35" s="0" t="n">
        <v>8</v>
      </c>
      <c r="F35" s="0" t="n">
        <v>9</v>
      </c>
    </row>
    <row r="36" customFormat="false" ht="15" hidden="false" customHeight="false" outlineLevel="0" collapsed="false">
      <c r="A36" s="0" t="s">
        <v>33</v>
      </c>
      <c r="D36" s="0" t="n">
        <v>10</v>
      </c>
      <c r="E36" s="0" t="n">
        <v>11</v>
      </c>
      <c r="F36" s="0" t="n">
        <v>12</v>
      </c>
    </row>
    <row r="38" customFormat="false" ht="29" hidden="false" customHeight="false" outlineLevel="0" collapsed="false">
      <c r="A38" s="0" t="s">
        <v>58</v>
      </c>
      <c r="B38" s="4" t="s">
        <v>59</v>
      </c>
      <c r="C38" s="0" t="s">
        <v>50</v>
      </c>
      <c r="N38" s="0" t="n">
        <f aca="false">MAX(D39:G42)</f>
        <v>16</v>
      </c>
      <c r="O38" s="0" t="str">
        <f aca="false">IF(ABS(N38-R38)&lt;0.001,"PASS","FAIL")</f>
        <v>PASS</v>
      </c>
      <c r="P38" s="0" t="s">
        <v>60</v>
      </c>
      <c r="Q38" s="4" t="s">
        <v>61</v>
      </c>
      <c r="R38" s="4" t="n">
        <f aca="false">ORG.EXTENSION.WRITERAGENT.PYTHONFUNCTION.PYTHON("np.max(data)",D39:G42)</f>
        <v>16</v>
      </c>
    </row>
    <row r="39" customFormat="false" ht="15" hidden="false" customHeight="false" outlineLevel="0" collapsed="false">
      <c r="A39" s="0" t="s">
        <v>27</v>
      </c>
      <c r="D39" s="0" t="n">
        <v>1</v>
      </c>
      <c r="E39" s="0" t="n">
        <v>2</v>
      </c>
      <c r="F39" s="0" t="n">
        <v>3</v>
      </c>
      <c r="G39" s="0" t="n">
        <v>4</v>
      </c>
    </row>
    <row r="40" customFormat="false" ht="15" hidden="false" customHeight="false" outlineLevel="0" collapsed="false">
      <c r="A40" s="0" t="s">
        <v>31</v>
      </c>
      <c r="D40" s="0" t="n">
        <v>5</v>
      </c>
      <c r="E40" s="0" t="n">
        <v>6</v>
      </c>
      <c r="F40" s="0" t="n">
        <v>7</v>
      </c>
      <c r="G40" s="0" t="n">
        <v>8</v>
      </c>
    </row>
    <row r="41" customFormat="false" ht="15" hidden="false" customHeight="false" outlineLevel="0" collapsed="false">
      <c r="A41" s="0" t="s">
        <v>32</v>
      </c>
      <c r="D41" s="0" t="n">
        <v>9</v>
      </c>
      <c r="E41" s="0" t="n">
        <v>10</v>
      </c>
      <c r="F41" s="0" t="n">
        <v>11</v>
      </c>
      <c r="G41" s="0" t="n">
        <v>12</v>
      </c>
    </row>
    <row r="42" customFormat="false" ht="15" hidden="false" customHeight="false" outlineLevel="0" collapsed="false">
      <c r="A42" s="0" t="s">
        <v>33</v>
      </c>
      <c r="D42" s="0" t="n">
        <v>13</v>
      </c>
      <c r="E42" s="0" t="n">
        <v>14</v>
      </c>
      <c r="F42" s="0" t="n">
        <v>15</v>
      </c>
      <c r="G42" s="0" t="n">
        <v>16</v>
      </c>
    </row>
    <row r="44" customFormat="false" ht="42.5" hidden="false" customHeight="false" outlineLevel="0" collapsed="false">
      <c r="A44" s="0" t="s">
        <v>62</v>
      </c>
      <c r="B44" s="4" t="s">
        <v>63</v>
      </c>
      <c r="C44" s="0" t="s">
        <v>64</v>
      </c>
      <c r="N44" s="0" t="n">
        <f aca="false">SUM(D45)</f>
        <v>1</v>
      </c>
      <c r="O44" s="0" t="str">
        <f aca="false">IF(ABS(N44-R44)&lt;0.001,"PASS","FAIL")</f>
        <v>PASS</v>
      </c>
      <c r="P44" s="0" t="s">
        <v>65</v>
      </c>
      <c r="Q44" s="4" t="s">
        <v>66</v>
      </c>
      <c r="R44" s="4" t="n">
        <f aca="false">ORG.EXTENSION.WRITERAGENT.PYTHONFUNCTION.PYTHON("np.sum(data)",D45)</f>
        <v>1</v>
      </c>
    </row>
    <row r="45" customFormat="false" ht="15" hidden="false" customHeight="false" outlineLevel="0" collapsed="false">
      <c r="A45" s="0" t="s">
        <v>27</v>
      </c>
      <c r="D45" s="0" t="n">
        <v>1</v>
      </c>
    </row>
    <row r="47" customFormat="false" ht="42.5" hidden="false" customHeight="false" outlineLevel="0" collapsed="false">
      <c r="A47" s="0" t="s">
        <v>67</v>
      </c>
      <c r="B47" s="4" t="s">
        <v>68</v>
      </c>
      <c r="C47" s="0" t="s">
        <v>64</v>
      </c>
      <c r="N47" s="0" t="n">
        <f aca="false">SUM(D48)</f>
        <v>0</v>
      </c>
      <c r="O47" s="0" t="str">
        <f aca="false">IF(ABS(N47-R47)&lt;0.001,"PASS","FAIL")</f>
        <v>PASS</v>
      </c>
      <c r="P47" s="0" t="s">
        <v>69</v>
      </c>
      <c r="Q47" s="4" t="s">
        <v>70</v>
      </c>
      <c r="R47" s="4" t="n">
        <f aca="false">ORG.EXTENSION.WRITERAGENT.PYTHONFUNCTION.PYTHON("np.sum(data)",D48)</f>
        <v>0</v>
      </c>
    </row>
    <row r="48" customFormat="false" ht="15" hidden="false" customHeight="false" outlineLevel="0" collapsed="false">
      <c r="A48" s="0" t="s">
        <v>27</v>
      </c>
      <c r="D48" s="0" t="n">
        <v>0</v>
      </c>
    </row>
    <row r="50" customFormat="false" ht="29" hidden="false" customHeight="false" outlineLevel="0" collapsed="false">
      <c r="A50" s="0" t="s">
        <v>71</v>
      </c>
      <c r="B50" s="4" t="s">
        <v>72</v>
      </c>
      <c r="C50" s="0" t="s">
        <v>73</v>
      </c>
      <c r="N50" s="0" t="n">
        <f aca="false">SUM(D51:D61)</f>
        <v>7</v>
      </c>
      <c r="O50" s="0" t="str">
        <f aca="false">IF(ABS(N50-R50)&lt;0.001,"PASS","FAIL")</f>
        <v>PASS</v>
      </c>
      <c r="P50" s="0" t="s">
        <v>74</v>
      </c>
      <c r="Q50" s="4" t="s">
        <v>75</v>
      </c>
      <c r="R50" s="4" t="n">
        <f aca="false">ORG.EXTENSION.WRITERAGENT.PYTHONFUNCTION.PYTHON("np.sum(data)",D51:D61)</f>
        <v>7</v>
      </c>
    </row>
    <row r="51" customFormat="false" ht="15" hidden="false" customHeight="false" outlineLevel="0" collapsed="false">
      <c r="A51" s="0" t="s">
        <v>27</v>
      </c>
      <c r="D51" s="0" t="n">
        <v>1</v>
      </c>
    </row>
    <row r="52" customFormat="false" ht="15" hidden="false" customHeight="false" outlineLevel="0" collapsed="false">
      <c r="A52" s="0" t="s">
        <v>31</v>
      </c>
      <c r="D52" s="0" t="n">
        <v>1</v>
      </c>
    </row>
    <row r="53" customFormat="false" ht="15" hidden="false" customHeight="false" outlineLevel="0" collapsed="false">
      <c r="A53" s="0" t="s">
        <v>32</v>
      </c>
      <c r="D53" s="0" t="n">
        <v>1</v>
      </c>
    </row>
    <row r="54" customFormat="false" ht="15" hidden="false" customHeight="false" outlineLevel="0" collapsed="false">
      <c r="A54" s="0" t="s">
        <v>33</v>
      </c>
      <c r="D54" s="0" t="n">
        <v>0</v>
      </c>
    </row>
    <row r="55" customFormat="false" ht="15" hidden="false" customHeight="false" outlineLevel="0" collapsed="false">
      <c r="A55" s="0" t="s">
        <v>76</v>
      </c>
      <c r="D55" s="0" t="n">
        <v>1</v>
      </c>
    </row>
    <row r="56" customFormat="false" ht="15" hidden="false" customHeight="false" outlineLevel="0" collapsed="false">
      <c r="A56" s="0" t="s">
        <v>77</v>
      </c>
      <c r="D56" s="0" t="n">
        <v>0</v>
      </c>
    </row>
    <row r="57" customFormat="false" ht="15" hidden="false" customHeight="false" outlineLevel="0" collapsed="false">
      <c r="A57" s="0" t="s">
        <v>78</v>
      </c>
      <c r="D57" s="0" t="n">
        <v>1</v>
      </c>
    </row>
    <row r="58" customFormat="false" ht="15" hidden="false" customHeight="false" outlineLevel="0" collapsed="false">
      <c r="A58" s="0" t="s">
        <v>79</v>
      </c>
      <c r="D58" s="0" t="n">
        <v>0</v>
      </c>
    </row>
    <row r="59" customFormat="false" ht="15" hidden="false" customHeight="false" outlineLevel="0" collapsed="false">
      <c r="A59" s="0" t="s">
        <v>80</v>
      </c>
      <c r="D59" s="0" t="n">
        <v>1</v>
      </c>
    </row>
    <row r="60" customFormat="false" ht="15" hidden="false" customHeight="false" outlineLevel="0" collapsed="false">
      <c r="A60" s="0" t="s">
        <v>81</v>
      </c>
      <c r="D60" s="0" t="n">
        <v>1</v>
      </c>
    </row>
    <row r="61" customFormat="false" ht="15" hidden="false" customHeight="false" outlineLevel="0" collapsed="false">
      <c r="A61" s="0" t="s">
        <v>82</v>
      </c>
      <c r="D61" s="0" t="n">
        <v>0</v>
      </c>
    </row>
    <row r="64" customFormat="false" ht="15" hidden="false" customHeight="false" outlineLevel="0" collapsed="false">
      <c r="A64" s="3" t="s">
        <v>83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customFormat="false" ht="29" hidden="false" customHeight="false" outlineLevel="0" collapsed="false">
      <c r="A65" s="0" t="s">
        <v>84</v>
      </c>
      <c r="B65" s="4" t="s">
        <v>85</v>
      </c>
      <c r="C65" s="0" t="s">
        <v>86</v>
      </c>
      <c r="N65" s="0" t="n">
        <f aca="false">SUM(D66:E67,I66:J67)</f>
        <v>36</v>
      </c>
      <c r="O65" s="0" t="e">
        <f aca="false">IF(ABS(N65-R65)&lt;0.001,"PASS","FAIL")</f>
        <v>#VALUE!</v>
      </c>
      <c r="P65" s="0" t="s">
        <v>87</v>
      </c>
      <c r="Q65" s="4" t="s">
        <v>88</v>
      </c>
      <c r="R65" s="4" t="e">
        <f aca="false">ORG.EXTENSION.WRITERAGENT.PYTHONFUNCTION.PYTHON("sum(np.sum(d) for d in data)",D66:E67,I66:J67)</f>
        <v>#VALUE!</v>
      </c>
    </row>
    <row r="66" customFormat="false" ht="15" hidden="false" customHeight="false" outlineLevel="0" collapsed="false">
      <c r="A66" s="0" t="s">
        <v>27</v>
      </c>
      <c r="D66" s="0" t="n">
        <v>1</v>
      </c>
      <c r="E66" s="0" t="n">
        <v>2</v>
      </c>
      <c r="I66" s="0" t="n">
        <v>5</v>
      </c>
      <c r="J66" s="0" t="n">
        <v>6</v>
      </c>
    </row>
    <row r="67" customFormat="false" ht="15" hidden="false" customHeight="false" outlineLevel="0" collapsed="false">
      <c r="A67" s="0" t="s">
        <v>31</v>
      </c>
      <c r="D67" s="0" t="n">
        <v>3</v>
      </c>
      <c r="E67" s="0" t="n">
        <v>4</v>
      </c>
      <c r="I67" s="0" t="n">
        <v>7</v>
      </c>
      <c r="J67" s="0" t="n">
        <v>8</v>
      </c>
    </row>
    <row r="69" customFormat="false" ht="29" hidden="false" customHeight="false" outlineLevel="0" collapsed="false">
      <c r="A69" s="0" t="s">
        <v>89</v>
      </c>
      <c r="B69" s="4" t="s">
        <v>90</v>
      </c>
      <c r="C69" s="0" t="s">
        <v>86</v>
      </c>
      <c r="N69" s="0" t="n">
        <f aca="false">SUM(D70:D71,I70:J70)</f>
        <v>10</v>
      </c>
      <c r="O69" s="0" t="e">
        <f aca="false">IF(ABS(N69-R69)&lt;0.001,"PASS","FAIL")</f>
        <v>#VALUE!</v>
      </c>
      <c r="P69" s="0" t="s">
        <v>26</v>
      </c>
      <c r="Q69" s="4" t="s">
        <v>91</v>
      </c>
      <c r="R69" s="4" t="e">
        <f aca="false">ORG.EXTENSION.WRITERAGENT.PYTHONFUNCTION.PYTHON("sum(np.sum(d) for d in data)",D70:D71,I70:J70)</f>
        <v>#VALUE!</v>
      </c>
    </row>
    <row r="70" customFormat="false" ht="15" hidden="false" customHeight="false" outlineLevel="0" collapsed="false">
      <c r="A70" s="0" t="s">
        <v>27</v>
      </c>
      <c r="D70" s="0" t="n">
        <v>1</v>
      </c>
      <c r="I70" s="0" t="n">
        <v>3</v>
      </c>
      <c r="J70" s="0" t="n">
        <v>4</v>
      </c>
    </row>
    <row r="71" customFormat="false" ht="15" hidden="false" customHeight="false" outlineLevel="0" collapsed="false">
      <c r="A71" s="0" t="s">
        <v>31</v>
      </c>
      <c r="D71" s="0" t="n">
        <v>2</v>
      </c>
    </row>
    <row r="73" customFormat="false" ht="29" hidden="false" customHeight="false" outlineLevel="0" collapsed="false">
      <c r="A73" s="0" t="s">
        <v>92</v>
      </c>
      <c r="B73" s="4" t="s">
        <v>93</v>
      </c>
      <c r="C73" s="0" t="s">
        <v>94</v>
      </c>
      <c r="N73" s="0" t="n">
        <f aca="false">SUM(D74:F74,I74:K74)</f>
        <v>21</v>
      </c>
      <c r="O73" s="0" t="e">
        <f aca="false">IF(ABS(N73-R73)&lt;0.001,"PASS","FAIL")</f>
        <v>#VALUE!</v>
      </c>
      <c r="P73" s="0" t="s">
        <v>95</v>
      </c>
      <c r="R73" s="4" t="e">
        <f aca="false">ORG.EXTENSION.WRITERAGENT.PYTHONFUNCTION.PYTHON("sum(np.sum(d) for d in data)",D74:F74,I74:K74)</f>
        <v>#VALUE!</v>
      </c>
    </row>
    <row r="74" customFormat="false" ht="15" hidden="false" customHeight="false" outlineLevel="0" collapsed="false">
      <c r="A74" s="0" t="s">
        <v>27</v>
      </c>
      <c r="D74" s="0" t="n">
        <v>1</v>
      </c>
      <c r="E74" s="0" t="n">
        <v>2</v>
      </c>
      <c r="F74" s="0" t="n">
        <v>3</v>
      </c>
      <c r="I74" s="0" t="n">
        <v>4</v>
      </c>
      <c r="J74" s="0" t="n">
        <v>5</v>
      </c>
      <c r="K74" s="0" t="n">
        <v>6</v>
      </c>
    </row>
    <row r="76" customFormat="false" ht="29" hidden="false" customHeight="false" outlineLevel="0" collapsed="false">
      <c r="A76" s="0" t="s">
        <v>96</v>
      </c>
      <c r="B76" s="4" t="s">
        <v>97</v>
      </c>
      <c r="C76" s="0" t="s">
        <v>86</v>
      </c>
      <c r="N76" s="0" t="n">
        <f aca="false">SUM(D77,I77:K77)</f>
        <v>11</v>
      </c>
      <c r="O76" s="0" t="e">
        <f aca="false">IF(ABS(N76-R76)&lt;0.001,"PASS","FAIL")</f>
        <v>#VALUE!</v>
      </c>
      <c r="P76" s="0" t="s">
        <v>98</v>
      </c>
      <c r="R76" s="4" t="e">
        <f aca="false">ORG.EXTENSION.WRITERAGENT.PYTHONFUNCTION.PYTHON("sum(np.sum(d) for d in data)",D77,I77:K77)</f>
        <v>#VALUE!</v>
      </c>
    </row>
    <row r="77" customFormat="false" ht="15" hidden="false" customHeight="false" outlineLevel="0" collapsed="false">
      <c r="A77" s="0" t="s">
        <v>27</v>
      </c>
      <c r="D77" s="0" t="n">
        <v>5</v>
      </c>
      <c r="I77" s="0" t="n">
        <v>1</v>
      </c>
      <c r="J77" s="0" t="n">
        <v>2</v>
      </c>
      <c r="K77" s="0" t="n">
        <v>3</v>
      </c>
    </row>
    <row r="79" customFormat="false" ht="29" hidden="false" customHeight="false" outlineLevel="0" collapsed="false">
      <c r="A79" s="0" t="s">
        <v>99</v>
      </c>
      <c r="B79" s="4" t="s">
        <v>100</v>
      </c>
      <c r="C79" s="0" t="s">
        <v>101</v>
      </c>
      <c r="N79" s="0" t="n">
        <f aca="false">SUM(D80:E81,I80)</f>
        <v>6</v>
      </c>
      <c r="O79" s="0" t="e">
        <f aca="false">IF(ABS(N79-R79)&lt;0.001,"PASS","FAIL")</f>
        <v>#VALUE!</v>
      </c>
      <c r="P79" s="0" t="s">
        <v>102</v>
      </c>
      <c r="Q79" s="4" t="s">
        <v>103</v>
      </c>
      <c r="R79" s="4" t="e">
        <f aca="false">ORG.EXTENSION.WRITERAGENT.PYTHONFUNCTION.PYTHON("sum(v for g in data for row in g for v in row if isinstance(v, (int, float)))",D80:E81,I80)</f>
        <v>#VALUE!</v>
      </c>
    </row>
    <row r="80" customFormat="false" ht="15" hidden="false" customHeight="false" outlineLevel="0" collapsed="false">
      <c r="A80" s="0" t="s">
        <v>27</v>
      </c>
      <c r="D80" s="0" t="n">
        <v>1</v>
      </c>
      <c r="E80" s="0" t="s">
        <v>104</v>
      </c>
      <c r="I80" s="0" t="n">
        <v>3</v>
      </c>
    </row>
    <row r="81" customFormat="false" ht="15" hidden="false" customHeight="false" outlineLevel="0" collapsed="false">
      <c r="A81" s="0" t="s">
        <v>31</v>
      </c>
      <c r="D81" s="0" t="n">
        <v>2</v>
      </c>
      <c r="E81" s="0" t="s">
        <v>105</v>
      </c>
    </row>
    <row r="84" customFormat="false" ht="15" hidden="false" customHeight="false" outlineLevel="0" collapsed="false">
      <c r="A84" s="3" t="s">
        <v>106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customFormat="false" ht="29" hidden="false" customHeight="false" outlineLevel="0" collapsed="false">
      <c r="A85" s="0" t="s">
        <v>107</v>
      </c>
      <c r="B85" s="4" t="s">
        <v>108</v>
      </c>
      <c r="C85" s="0" t="s">
        <v>109</v>
      </c>
      <c r="N85" s="0" t="str">
        <f aca="false">INDEX(D86:F86,1)</f>
        <v>02138</v>
      </c>
      <c r="O85" s="0" t="str">
        <f aca="false">IF(R85="02138","PASS","FAIL")</f>
        <v>PASS</v>
      </c>
      <c r="P85" s="0" t="s">
        <v>110</v>
      </c>
      <c r="Q85" s="4" t="s">
        <v>111</v>
      </c>
      <c r="R85" s="4" t="str">
        <f aca="false">ORG.EXTENSION.WRITERAGENT.PYTHONFUNCTION.PYTHON("data[0]",D86:F86)</f>
        <v>02138</v>
      </c>
    </row>
    <row r="86" customFormat="false" ht="15" hidden="false" customHeight="false" outlineLevel="0" collapsed="false">
      <c r="A86" s="0" t="s">
        <v>27</v>
      </c>
      <c r="D86" s="0" t="s">
        <v>110</v>
      </c>
      <c r="E86" s="0" t="n">
        <v>1</v>
      </c>
      <c r="F86" s="0" t="n">
        <v>2</v>
      </c>
    </row>
    <row r="88" customFormat="false" ht="29" hidden="false" customHeight="false" outlineLevel="0" collapsed="false">
      <c r="A88" s="0" t="s">
        <v>112</v>
      </c>
      <c r="B88" s="4" t="s">
        <v>113</v>
      </c>
      <c r="C88" s="0" t="s">
        <v>114</v>
      </c>
      <c r="N88" s="0" t="n">
        <f aca="false">SUM(D89:F92)</f>
        <v>110</v>
      </c>
      <c r="O88" s="0" t="str">
        <f aca="false">IF(ABS(N88-R88)&lt;0.001,"PASS","FAIL")</f>
        <v>PASS</v>
      </c>
      <c r="P88" s="0" t="s">
        <v>37</v>
      </c>
      <c r="Q88" s="4" t="s">
        <v>115</v>
      </c>
      <c r="R88" s="4" t="n">
        <f aca="false">ORG.EXTENSION.WRITERAGENT.PYTHONFUNCTION.PYTHON("sum(v for row in data for v in row if isinstance(v, (int, float)))",D89:F92)</f>
        <v>110</v>
      </c>
    </row>
    <row r="89" customFormat="false" ht="15" hidden="false" customHeight="false" outlineLevel="0" collapsed="false">
      <c r="A89" s="0" t="s">
        <v>27</v>
      </c>
      <c r="D89" s="0" t="n">
        <v>1</v>
      </c>
      <c r="E89" s="0" t="s">
        <v>116</v>
      </c>
      <c r="F89" s="0" t="n">
        <v>10</v>
      </c>
    </row>
    <row r="90" customFormat="false" ht="15" hidden="false" customHeight="false" outlineLevel="0" collapsed="false">
      <c r="A90" s="0" t="s">
        <v>31</v>
      </c>
      <c r="D90" s="0" t="n">
        <v>2</v>
      </c>
      <c r="E90" s="0" t="s">
        <v>117</v>
      </c>
      <c r="F90" s="0" t="n">
        <v>20</v>
      </c>
    </row>
    <row r="91" customFormat="false" ht="15" hidden="false" customHeight="false" outlineLevel="0" collapsed="false">
      <c r="A91" s="0" t="s">
        <v>32</v>
      </c>
      <c r="D91" s="0" t="n">
        <v>3</v>
      </c>
      <c r="E91" s="0" t="s">
        <v>118</v>
      </c>
      <c r="F91" s="0" t="n">
        <v>30</v>
      </c>
    </row>
    <row r="92" customFormat="false" ht="15" hidden="false" customHeight="false" outlineLevel="0" collapsed="false">
      <c r="A92" s="0" t="s">
        <v>33</v>
      </c>
      <c r="D92" s="0" t="n">
        <v>4</v>
      </c>
      <c r="E92" s="0" t="s">
        <v>119</v>
      </c>
      <c r="F92" s="0" t="n">
        <v>40</v>
      </c>
    </row>
    <row r="94" customFormat="false" ht="29" hidden="false" customHeight="false" outlineLevel="0" collapsed="false">
      <c r="A94" s="0" t="s">
        <v>120</v>
      </c>
      <c r="B94" s="4" t="s">
        <v>121</v>
      </c>
      <c r="C94" s="0" t="s">
        <v>122</v>
      </c>
      <c r="N94" s="0" t="str">
        <f aca="false">INDEX(D95:E98,1,1)</f>
        <v>São Paulo</v>
      </c>
      <c r="O94" s="0" t="str">
        <f aca="false">IF(R94="São Paulo","PASS","FAIL")</f>
        <v>PASS</v>
      </c>
      <c r="P94" s="0" t="s">
        <v>123</v>
      </c>
      <c r="R94" s="4" t="str">
        <f aca="false">ORG.EXTENSION.WRITERAGENT.PYTHONFUNCTION.PYTHON("data[0]",D95:E98)</f>
        <v>São Paulo</v>
      </c>
    </row>
    <row r="95" customFormat="false" ht="15" hidden="false" customHeight="false" outlineLevel="0" collapsed="false">
      <c r="A95" s="0" t="s">
        <v>27</v>
      </c>
      <c r="D95" s="0" t="s">
        <v>123</v>
      </c>
      <c r="E95" s="0" t="n">
        <v>5</v>
      </c>
    </row>
    <row r="96" customFormat="false" ht="15" hidden="false" customHeight="false" outlineLevel="0" collapsed="false">
      <c r="A96" s="0" t="s">
        <v>31</v>
      </c>
      <c r="D96" s="5" t="s">
        <v>124</v>
      </c>
      <c r="E96" s="0" t="n">
        <v>7</v>
      </c>
    </row>
    <row r="97" customFormat="false" ht="15" hidden="false" customHeight="false" outlineLevel="0" collapsed="false">
      <c r="A97" s="0" t="s">
        <v>32</v>
      </c>
      <c r="E97" s="0" t="n">
        <v>9</v>
      </c>
    </row>
    <row r="98" customFormat="false" ht="15" hidden="false" customHeight="false" outlineLevel="0" collapsed="false">
      <c r="A98" s="0" t="s">
        <v>33</v>
      </c>
      <c r="D98" s="0" t="s">
        <v>117</v>
      </c>
      <c r="E98" s="0" t="n">
        <v>11</v>
      </c>
    </row>
    <row r="101" customFormat="false" ht="15" hidden="false" customHeight="false" outlineLevel="0" collapsed="false">
      <c r="A101" s="3" t="s">
        <v>125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customFormat="false" ht="29" hidden="false" customHeight="false" outlineLevel="0" collapsed="false">
      <c r="A102" s="0" t="s">
        <v>126</v>
      </c>
      <c r="B102" s="4" t="s">
        <v>127</v>
      </c>
      <c r="C102" s="0" t="s">
        <v>128</v>
      </c>
      <c r="N102" s="0" t="e">
        <f aca="false">INDEX(D103:G106,ROW()-102,COLUMN()-3)*2</f>
        <v>#REF!</v>
      </c>
      <c r="O102" s="0" t="s">
        <v>129</v>
      </c>
      <c r="Q102" s="4" t="s">
        <v>130</v>
      </c>
      <c r="R102" s="4" t="n">
        <f aca="false">ORG.EXTENSION.WRITERAGENT.PYTHONFUNCTION.PYTHON("np.array(data) * 2",D103:G106)</f>
        <v>2</v>
      </c>
    </row>
    <row r="103" customFormat="false" ht="15" hidden="false" customHeight="false" outlineLevel="0" collapsed="false">
      <c r="A103" s="0" t="s">
        <v>27</v>
      </c>
      <c r="D103" s="0" t="n">
        <v>1</v>
      </c>
      <c r="E103" s="0" t="n">
        <v>2</v>
      </c>
      <c r="F103" s="0" t="n">
        <v>3</v>
      </c>
      <c r="G103" s="0" t="n">
        <v>4</v>
      </c>
    </row>
    <row r="104" customFormat="false" ht="15" hidden="false" customHeight="false" outlineLevel="0" collapsed="false">
      <c r="A104" s="0" t="s">
        <v>31</v>
      </c>
      <c r="D104" s="0" t="n">
        <v>5</v>
      </c>
      <c r="E104" s="0" t="n">
        <v>6</v>
      </c>
      <c r="F104" s="0" t="n">
        <v>7</v>
      </c>
      <c r="G104" s="0" t="n">
        <v>8</v>
      </c>
    </row>
    <row r="105" customFormat="false" ht="15" hidden="false" customHeight="false" outlineLevel="0" collapsed="false">
      <c r="A105" s="0" t="s">
        <v>32</v>
      </c>
      <c r="D105" s="0" t="n">
        <v>9</v>
      </c>
      <c r="E105" s="0" t="n">
        <v>10</v>
      </c>
      <c r="F105" s="0" t="n">
        <v>11</v>
      </c>
      <c r="G105" s="0" t="n">
        <v>12</v>
      </c>
    </row>
    <row r="106" customFormat="false" ht="15" hidden="false" customHeight="false" outlineLevel="0" collapsed="false">
      <c r="A106" s="0" t="s">
        <v>33</v>
      </c>
      <c r="D106" s="0" t="n">
        <v>13</v>
      </c>
      <c r="E106" s="0" t="n">
        <v>14</v>
      </c>
      <c r="F106" s="0" t="n">
        <v>15</v>
      </c>
      <c r="G106" s="0" t="n">
        <v>16</v>
      </c>
    </row>
    <row r="108" customFormat="false" ht="29" hidden="false" customHeight="false" outlineLevel="0" collapsed="false">
      <c r="A108" s="0" t="s">
        <v>131</v>
      </c>
      <c r="B108" s="4" t="s">
        <v>132</v>
      </c>
      <c r="C108" s="0" t="s">
        <v>128</v>
      </c>
      <c r="N108" s="0" t="e">
        <f aca="false">INDEX(D109:G112,ROW()-108,COLUMN()-3)</f>
        <v>#REF!</v>
      </c>
      <c r="O108" s="0" t="s">
        <v>129</v>
      </c>
      <c r="Q108" s="4" t="s">
        <v>133</v>
      </c>
      <c r="R108" s="4" t="n">
        <f aca="false">ORG.EXTENSION.WRITERAGENT.PYTHONFUNCTION.PYTHON("data",D109:G112)</f>
        <v>1</v>
      </c>
    </row>
    <row r="109" customFormat="false" ht="15" hidden="false" customHeight="false" outlineLevel="0" collapsed="false">
      <c r="A109" s="0" t="s">
        <v>27</v>
      </c>
      <c r="D109" s="0" t="n">
        <v>1</v>
      </c>
      <c r="E109" s="0" t="n">
        <v>2</v>
      </c>
      <c r="F109" s="0" t="n">
        <v>3</v>
      </c>
      <c r="G109" s="0" t="n">
        <v>4</v>
      </c>
    </row>
    <row r="110" customFormat="false" ht="15" hidden="false" customHeight="false" outlineLevel="0" collapsed="false">
      <c r="A110" s="0" t="s">
        <v>31</v>
      </c>
      <c r="D110" s="0" t="n">
        <v>5</v>
      </c>
      <c r="E110" s="0" t="n">
        <v>6</v>
      </c>
      <c r="F110" s="0" t="n">
        <v>7</v>
      </c>
      <c r="G110" s="0" t="n">
        <v>8</v>
      </c>
    </row>
    <row r="111" customFormat="false" ht="15" hidden="false" customHeight="false" outlineLevel="0" collapsed="false">
      <c r="A111" s="0" t="s">
        <v>32</v>
      </c>
      <c r="D111" s="0" t="n">
        <v>9</v>
      </c>
      <c r="E111" s="0" t="n">
        <v>10</v>
      </c>
      <c r="F111" s="0" t="n">
        <v>11</v>
      </c>
      <c r="G111" s="0" t="n">
        <v>12</v>
      </c>
    </row>
    <row r="112" customFormat="false" ht="15" hidden="false" customHeight="false" outlineLevel="0" collapsed="false">
      <c r="A112" s="0" t="s">
        <v>33</v>
      </c>
      <c r="D112" s="0" t="n">
        <v>13</v>
      </c>
      <c r="E112" s="0" t="n">
        <v>14</v>
      </c>
      <c r="F112" s="0" t="n">
        <v>15</v>
      </c>
      <c r="G112" s="0" t="n">
        <v>16</v>
      </c>
    </row>
    <row r="115" customFormat="false" ht="15" hidden="false" customHeight="false" outlineLevel="0" collapsed="false">
      <c r="A115" s="3" t="s">
        <v>134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customFormat="false" ht="29" hidden="false" customHeight="false" outlineLevel="0" collapsed="false">
      <c r="A116" s="0" t="s">
        <v>135</v>
      </c>
      <c r="B116" s="4" t="s">
        <v>136</v>
      </c>
      <c r="C116" s="0" t="s">
        <v>137</v>
      </c>
      <c r="N116" s="0" t="n">
        <f aca="false">SUM(D117:G120)</f>
        <v>114</v>
      </c>
      <c r="O116" s="0" t="str">
        <f aca="false">IF(ABS(N116-R116)&lt;0.001,"PASS","FAIL")</f>
        <v>PASS</v>
      </c>
      <c r="P116" s="0" t="s">
        <v>138</v>
      </c>
      <c r="Q116" s="4" t="s">
        <v>139</v>
      </c>
      <c r="R116" s="4" t="n">
        <f aca="false">ORG.EXTENSION.WRITERAGENT.PYTHONFUNCTION.PYTHON("np.nansum(data)",D117:G120)</f>
        <v>114</v>
      </c>
    </row>
    <row r="117" customFormat="false" ht="15" hidden="false" customHeight="false" outlineLevel="0" collapsed="false">
      <c r="A117" s="0" t="s">
        <v>27</v>
      </c>
      <c r="D117" s="0" t="n">
        <v>1</v>
      </c>
      <c r="F117" s="0" t="n">
        <v>3</v>
      </c>
      <c r="G117" s="0" t="n">
        <v>4</v>
      </c>
    </row>
    <row r="118" customFormat="false" ht="15" hidden="false" customHeight="false" outlineLevel="0" collapsed="false">
      <c r="A118" s="0" t="s">
        <v>31</v>
      </c>
      <c r="D118" s="0" t="n">
        <v>5</v>
      </c>
      <c r="E118" s="0" t="n">
        <v>6</v>
      </c>
      <c r="G118" s="0" t="n">
        <v>8</v>
      </c>
    </row>
    <row r="119" customFormat="false" ht="15" hidden="false" customHeight="false" outlineLevel="0" collapsed="false">
      <c r="A119" s="0" t="s">
        <v>32</v>
      </c>
      <c r="D119" s="0" t="n">
        <v>9</v>
      </c>
      <c r="E119" s="0" t="n">
        <v>10</v>
      </c>
      <c r="F119" s="0" t="n">
        <v>11</v>
      </c>
      <c r="G119" s="0" t="n">
        <v>12</v>
      </c>
    </row>
    <row r="120" customFormat="false" ht="15" hidden="false" customHeight="false" outlineLevel="0" collapsed="false">
      <c r="A120" s="0" t="s">
        <v>33</v>
      </c>
      <c r="E120" s="0" t="n">
        <v>14</v>
      </c>
      <c r="F120" s="0" t="n">
        <v>15</v>
      </c>
      <c r="G120" s="0" t="n">
        <v>16</v>
      </c>
    </row>
    <row r="123" customFormat="false" ht="15" hidden="false" customHeight="false" outlineLevel="0" collapsed="false">
      <c r="A123" s="3" t="s">
        <v>140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customFormat="false" ht="15.5" hidden="false" customHeight="false" outlineLevel="0" collapsed="false">
      <c r="A124" s="0" t="s">
        <v>141</v>
      </c>
      <c r="B124" s="4" t="s">
        <v>142</v>
      </c>
      <c r="C124" s="0" t="s">
        <v>143</v>
      </c>
      <c r="O124" s="0" t="str">
        <f aca="false">IF(LEFT(R124,6)="Error:","PASS","FAIL")</f>
        <v>PASS</v>
      </c>
      <c r="P124" s="0" t="s">
        <v>144</v>
      </c>
      <c r="R124" s="4" t="str">
        <f aca="false">ORG.EXTENSION.WRITERAGENT.PYTHONFUNCTION.PYTHON("1 +")</f>
        <v>Error: Code parsing failed on line 5 due to: SyntaxError: invalid syntax (&lt;unknown&gt;, line 5)
1 +
    ^</v>
      </c>
    </row>
    <row r="125" customFormat="false" ht="15" hidden="false" customHeight="false" outlineLevel="0" collapsed="false">
      <c r="A125" s="0" t="s">
        <v>27</v>
      </c>
      <c r="D125" s="0" t="n">
        <v>1</v>
      </c>
    </row>
    <row r="127" customFormat="false" ht="15.5" hidden="false" customHeight="false" outlineLevel="0" collapsed="false">
      <c r="A127" s="0" t="s">
        <v>145</v>
      </c>
      <c r="B127" s="4" t="s">
        <v>146</v>
      </c>
      <c r="C127" s="0" t="s">
        <v>143</v>
      </c>
      <c r="O127" s="0" t="str">
        <f aca="false">IF(LEFT(R127,6)="Error:","PASS","FAIL")</f>
        <v>PASS</v>
      </c>
      <c r="P127" s="0" t="s">
        <v>144</v>
      </c>
      <c r="R127" s="4" t="str">
        <f aca="false">ORG.EXTENSION.WRITERAGENT.PYTHONFUNCTION.PYTHON("import os")</f>
        <v>Error: Code execution failed at line 'import os' due to: InterpreterError: Import of os is not allowed. Authorized imports are: ['enum', 'pandas', 'matplotlib.*', 'textwrap', 'typing', 'cv2', 'math', 'sklearn', 'scipy', 'matplotlib', 'PIL', 'random', 'fractions', 'copy', 'string', 'numpy.*', 'numpy', 'sympy.*', 'itertools', 'statsmodels', 'PIL.*', 'functools', 'json', 'datetime', 're', 'seaborn', 'queue', 'scipy.*', 'statsmodels.*', 'sklearn.*', 'seaborn.*', 'unicodedata', 'sympy', 'collections', 'networkx', 'decimal', 'dataclasses', 'stat', 'time', 'pprint', 'pandas.*', 'statistics', 'operator', 'networkx.*', 'platform', 'csv']</v>
      </c>
    </row>
    <row r="128" customFormat="false" ht="15" hidden="false" customHeight="false" outlineLevel="0" collapsed="false">
      <c r="A128" s="0" t="s">
        <v>27</v>
      </c>
      <c r="D128" s="0" t="n">
        <v>1</v>
      </c>
    </row>
  </sheetData>
  <mergeCells count="6">
    <mergeCell ref="A2:R2"/>
    <mergeCell ref="A64:R64"/>
    <mergeCell ref="A84:R84"/>
    <mergeCell ref="A101:R101"/>
    <mergeCell ref="A115:R115"/>
    <mergeCell ref="A123:R1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LibreOffice/26.2.3.2$Linux_X86_64 LibreOffice_project/7d74455cffae7a589951233f185ae0303c082020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2026-05-24T02:46:56Z</dcterms:created>
  <dc:creator>openpyxl</dc:creator>
  <dc:description/>
  <dc:language>en-US</dc:language>
  <cp:lastModifiedBy/>
  <dcterms:modified xsi:type="dcterms:W3CDTF">2026-05-23T22:48:54Z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riterAgentSessionID">
    <vt:lpwstr>6de359f1e6b4b04c35564a33d28d342c8bf58cd849df6065ba52bfb4bdfc0669</vt:lpwstr>
  </property>
</Properties>
</file>