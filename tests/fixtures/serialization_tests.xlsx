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ialization_tests" sheetId="1" state="visible" r:id="rId3"/>
  </sheets>
  <definedNames>
    <definedName function="true" hidden="false" name="org.extension.writeragent.PythonFunction.python" vbProcedure="true">#NAME?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<sst xmlns="http://schemas.openxmlformats.org/spreadsheetml/2006/main" count="190" uniqueCount="128">
  <si>
    <t xml:space="preserve">test_id</t>
  </si>
  <si>
    <t xml:space="preserve">description</t>
  </si>
  <si>
    <t xml:space="preserve">tags</t>
  </si>
  <si>
    <t xml:space="preserve">col_1</t>
  </si>
  <si>
    <t xml:space="preserve">col_2</t>
  </si>
  <si>
    <t xml:space="preserve">col_3</t>
  </si>
  <si>
    <t xml:space="preserve">col_4</t>
  </si>
  <si>
    <t xml:space="preserve">col_5</t>
  </si>
  <si>
    <t xml:space="preserve">col_6</t>
  </si>
  <si>
    <t xml:space="preserve">col_7</t>
  </si>
  <si>
    <t xml:space="preserve">col_8</t>
  </si>
  <si>
    <t xml:space="preserve">col_9</t>
  </si>
  <si>
    <t xml:space="preserve">col_10</t>
  </si>
  <si>
    <t xml:space="preserve">calc_oracle</t>
  </si>
  <si>
    <t xml:space="preserve">compare_pass_fail</t>
  </si>
  <si>
    <t xml:space="preserve">expected</t>
  </si>
  <si>
    <t xml:space="preserve">notes</t>
  </si>
  <si>
    <t xml:space="preserve">python_formula</t>
  </si>
  <si>
    <t xml:space="preserve">[normal]</t>
  </si>
  <si>
    <t xml:space="preserve">scalar_single_cell</t>
  </si>
  <si>
    <t xml:space="preserve">Single cell constant (no data range)</t>
  </si>
  <si>
    <t xml:space="preserve">scalar</t>
  </si>
  <si>
    <t xml:space="preserve">42</t>
  </si>
  <si>
    <t xml:space="preserve">scalar_row_sum</t>
  </si>
  <si>
    <t xml:space="preserve">Row vector SUM — flat data, floats (1+2+3+4=10)</t>
  </si>
  <si>
    <t xml:space="preserve">flat,below_threshold,float</t>
  </si>
  <si>
    <t xml:space="preserve">10.0</t>
  </si>
  <si>
    <t xml:space="preserve">row_1</t>
  </si>
  <si>
    <t xml:space="preserve">scalar_col_sum</t>
  </si>
  <si>
    <t xml:space="preserve">Column vector SUM — flat data (1+2+3+4=10)</t>
  </si>
  <si>
    <t xml:space="preserve">flat,float</t>
  </si>
  <si>
    <t xml:space="preserve">row_2</t>
  </si>
  <si>
    <t xml:space="preserve">row_3</t>
  </si>
  <si>
    <t xml:space="preserve">row_4</t>
  </si>
  <si>
    <t xml:space="preserve">row_int_float_sum</t>
  </si>
  <si>
    <t xml:space="preserve">Row with ints + floats — SUM (100+2.5+3+4.5=110)</t>
  </si>
  <si>
    <t xml:space="preserve">flat,int,float,below_threshold</t>
  </si>
  <si>
    <t xml:space="preserve">110.0</t>
  </si>
  <si>
    <t xml:space="preserve">grid_3x3_sum</t>
  </si>
  <si>
    <t xml:space="preserve">3×3 SUM — nested list wire (&lt;10 cells)</t>
  </si>
  <si>
    <t xml:space="preserve">below_threshold</t>
  </si>
  <si>
    <t xml:space="preserve">45.0</t>
  </si>
  <si>
    <t xml:space="preserve">9 cells: nested-list wire, not split_grid. SUM 1..9 = 45.</t>
  </si>
  <si>
    <t xml:space="preserve">grid_2x5_sum</t>
  </si>
  <si>
    <t xml:space="preserve">2×5 SUM — split_grid at exactly 10 cells (boundary)</t>
  </si>
  <si>
    <t xml:space="preserve">split_grid,boundary</t>
  </si>
  <si>
    <t xml:space="preserve">55.0</t>
  </si>
  <si>
    <t xml:space="preserve">10 cells: first size that uses split_grid (BINARY_MIN_CELLS). SUM 1..10 = 55.</t>
  </si>
  <si>
    <t xml:space="preserve">row_10_sum</t>
  </si>
  <si>
    <t xml:space="preserve">1×10 row SUM — split_grid flat 1D shape</t>
  </si>
  <si>
    <t xml:space="preserve">split_grid,flat</t>
  </si>
  <si>
    <t xml:space="preserve">10-cell row: split_grid with 1D shape on wire. SUM 1..10 = 55.</t>
  </si>
  <si>
    <t xml:space="preserve">grid_4x4_sum</t>
  </si>
  <si>
    <t xml:space="preserve">4×4 SUM — split_grid ingress (≥10 cells)</t>
  </si>
  <si>
    <t xml:space="preserve">split_grid</t>
  </si>
  <si>
    <t xml:space="preserve">136.0</t>
  </si>
  <si>
    <t xml:space="preserve">16 cells: split_grid wire. SUM 1..16 = 136.</t>
  </si>
  <si>
    <t xml:space="preserve">grid_4x3_int_sum</t>
  </si>
  <si>
    <t xml:space="preserve">4×3 integer SUM — split_grid, all whole numbers</t>
  </si>
  <si>
    <t xml:space="preserve">split_grid,int</t>
  </si>
  <si>
    <t xml:space="preserve">78.0</t>
  </si>
  <si>
    <t xml:space="preserve">12 cells, values 1..12. SUM = 78.</t>
  </si>
  <si>
    <t xml:space="preserve">grid_4x4_max</t>
  </si>
  <si>
    <t xml:space="preserve">4×4 MAX spot-check — split_grid (answer is 16)</t>
  </si>
  <si>
    <t xml:space="preserve">16.0</t>
  </si>
  <si>
    <t xml:space="preserve">Easy eyeball check: max of 1..16 is 16.</t>
  </si>
  <si>
    <t xml:space="preserve">bool_true</t>
  </si>
  <si>
    <t xml:space="preserve">Calc logical TRUE — SUM treats as 1</t>
  </si>
  <si>
    <t xml:space="preserve">bool,below_threshold</t>
  </si>
  <si>
    <t xml:space="preserve">1.0</t>
  </si>
  <si>
    <t xml:space="preserve">Manual CSV uses 1/0 (Calc logical SUM semantics; CSV import does not run =TRUE()).</t>
  </si>
  <si>
    <t xml:space="preserve">bool_false</t>
  </si>
  <si>
    <t xml:space="preserve">Calc logical FALSE — SUM treats as 0</t>
  </si>
  <si>
    <t xml:space="preserve">0.0</t>
  </si>
  <si>
    <t xml:space="preserve">Manual CSV uses 1/0 (Calc logical SUM semantics; CSV import does not run =FALSE()).</t>
  </si>
  <si>
    <t xml:space="preserve">bool_col_11_sum</t>
  </si>
  <si>
    <t xml:space="preserve">11 logical values — split_grid SUM (7 TRUE + 4 FALSE = 7)</t>
  </si>
  <si>
    <t xml:space="preserve">split_grid,bool</t>
  </si>
  <si>
    <t xml:space="preserve">7.0</t>
  </si>
  <si>
    <t xml:space="preserve">11 cells forces split_grid; CSV uses 1/0 per cell.</t>
  </si>
  <si>
    <t xml:space="preserve">row_5</t>
  </si>
  <si>
    <t xml:space="preserve">row_6</t>
  </si>
  <si>
    <t xml:space="preserve">row_7</t>
  </si>
  <si>
    <t xml:space="preserve">row_8</t>
  </si>
  <si>
    <t xml:space="preserve">row_9</t>
  </si>
  <si>
    <t xml:space="preserve">row_10</t>
  </si>
  <si>
    <t xml:space="preserve">row_11</t>
  </si>
  <si>
    <t xml:space="preserve">[mixed]</t>
  </si>
  <si>
    <t xml:space="preserve">mixed_zip_first</t>
  </si>
  <si>
    <t xml:space="preserve">First cell zip text — INDEX must stay 02138</t>
  </si>
  <si>
    <t xml:space="preserve">zip_code,mixed,below_threshold</t>
  </si>
  <si>
    <t xml:space="preserve">02138</t>
  </si>
  <si>
    <t xml:space="preserve">calc_oracle =INDEX picks first cell; must remain text.</t>
  </si>
  <si>
    <t xml:space="preserve">mixed_cols_sum</t>
  </si>
  <si>
    <t xml:space="preserve">Mixed grid SUM — Calc ignores text (1+10+2+20+…=110)</t>
  </si>
  <si>
    <t xml:space="preserve">mixed,split_grid</t>
  </si>
  <si>
    <t xml:space="preserve">Same SUM oracle as numeric tests; Calc skips label cells.</t>
  </si>
  <si>
    <t xml:space="preserve">label</t>
  </si>
  <si>
    <t xml:space="preserve">x</t>
  </si>
  <si>
    <t xml:space="preserve">y</t>
  </si>
  <si>
    <t xml:space="preserve">z</t>
  </si>
  <si>
    <t xml:space="preserve">mixed_unicode_label</t>
  </si>
  <si>
    <t xml:space="preserve">Unicode first cell — INDEX must stay São Paulo</t>
  </si>
  <si>
    <t xml:space="preserve">mixed,unicode,split_grid</t>
  </si>
  <si>
    <t xml:space="preserve">São Paulo</t>
  </si>
  <si>
    <t xml:space="preserve">北京</t>
  </si>
  <si>
    <t xml:space="preserve">[grid]</t>
  </si>
  <si>
    <t xml:space="preserve">grid_return_double</t>
  </si>
  <si>
    <t xml:space="preserve">Return data×2 — INDEX oracle per cell</t>
  </si>
  <si>
    <t xml:space="preserve">split_grid,egress_grid</t>
  </si>
  <si>
    <t xml:space="preserve">matrix: Ctrl+Shift+Enter over 4x4 block in R; each cell should match N</t>
  </si>
  <si>
    <t xml:space="preserve">Matrix formula; each cell should match INDEX×2.</t>
  </si>
  <si>
    <t xml:space="preserve">grid_return_identity</t>
  </si>
  <si>
    <t xml:space="preserve">Echo input grid — INDEX identity round-trip</t>
  </si>
  <si>
    <t xml:space="preserve">Matrix block should reproduce the 4×4 input.</t>
  </si>
  <si>
    <t xml:space="preserve">[nan]</t>
  </si>
  <si>
    <t xml:space="preserve">nan_holes_nansum</t>
  </si>
  <si>
    <t xml:space="preserve">4×4 with empty cells — SUM / nansum (104)</t>
  </si>
  <si>
    <t xml:space="preserve">split_grid,empty,nan</t>
  </si>
  <si>
    <t xml:space="preserve">104.0</t>
  </si>
  <si>
    <t xml:space="preserve">Empty cells → NaN on wire; Calc SUM skips blanks as 0.</t>
  </si>
  <si>
    <t xml:space="preserve">[errors]</t>
  </si>
  <si>
    <t xml:space="preserve">error_syntax</t>
  </si>
  <si>
    <t xml:space="preserve">Python syntax error → Error: in cell</t>
  </si>
  <si>
    <t xml:space="preserve">error</t>
  </si>
  <si>
    <t xml:space="preserve">Error:</t>
  </si>
  <si>
    <t xml:space="preserve">error_bad_import</t>
  </si>
  <si>
    <t xml:space="preserve">Blocked import → Error: in cell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</si>
</sst>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CJK JP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85" activeCellId="0" sqref="N85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13" min="4" style="0" width="4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31.88"/>
  </cols>
  <sheetData>
    <row r="1" customFormat="false" ht="17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.5" hidden="false" customHeight="false" outlineLevel="0" collapsed="false">
      <c r="A3" s="0" t="s">
        <v>19</v>
      </c>
      <c r="B3" s="4" t="s">
        <v>20</v>
      </c>
      <c r="C3" s="0" t="s">
        <v>21</v>
      </c>
      <c r="N3" s="0" t="s">
        <v>22</v>
      </c>
      <c r="O3" s="0" t="str">
        <f aca="false">IF(ABS(N3-R3)&lt;0.001,"PASS","FAIL")</f>
        <v>PASS</v>
      </c>
      <c r="P3" s="0" t="s">
        <v>22</v>
      </c>
      <c r="R3" s="4" t="n">
        <f aca="false">ORG.EXTENSION.WRITERAGENT.PYTHONFUNCTION.PYTHON("42")</f>
        <v>42</v>
      </c>
    </row>
    <row r="5" customFormat="false" ht="29" hidden="false" customHeight="false" outlineLevel="0" collapsed="false">
      <c r="A5" s="0" t="s">
        <v>23</v>
      </c>
      <c r="B5" s="4" t="s">
        <v>24</v>
      </c>
      <c r="C5" s="0" t="s">
        <v>25</v>
      </c>
      <c r="N5" s="0" t="n">
        <f aca="false">SUM(D6:G6)</f>
        <v>10</v>
      </c>
      <c r="O5" s="0" t="str">
        <f aca="false">IF(ABS(N5-R5)&lt;0.001,"PASS","FAIL")</f>
        <v>PASS</v>
      </c>
      <c r="P5" s="0" t="s">
        <v>26</v>
      </c>
      <c r="R5" s="4" t="n">
        <f aca="false">ORG.EXTENSION.WRITERAGENT.PYTHONFUNCTION.PYTHON("np.sum(data)",D6:G6)</f>
        <v>10</v>
      </c>
    </row>
    <row r="6" customFormat="false" ht="15" hidden="false" customHeight="false" outlineLevel="0" collapsed="false">
      <c r="A6" s="0" t="s">
        <v>27</v>
      </c>
      <c r="D6" s="0" t="n">
        <v>1</v>
      </c>
      <c r="E6" s="0" t="n">
        <v>2</v>
      </c>
      <c r="F6" s="0" t="n">
        <v>3</v>
      </c>
      <c r="G6" s="0" t="n">
        <v>4</v>
      </c>
    </row>
    <row r="8" customFormat="false" ht="29" hidden="false" customHeight="false" outlineLevel="0" collapsed="false">
      <c r="A8" s="0" t="s">
        <v>28</v>
      </c>
      <c r="B8" s="4" t="s">
        <v>29</v>
      </c>
      <c r="C8" s="0" t="s">
        <v>30</v>
      </c>
      <c r="N8" s="0" t="n">
        <f aca="false">SUM(D9:D12)</f>
        <v>10</v>
      </c>
      <c r="O8" s="0" t="str">
        <f aca="false">IF(ABS(N8-R8)&lt;0.001,"PASS","FAIL")</f>
        <v>PASS</v>
      </c>
      <c r="P8" s="0" t="s">
        <v>26</v>
      </c>
      <c r="R8" s="4" t="n">
        <f aca="false">ORG.EXTENSION.WRITERAGENT.PYTHONFUNCTION.PYTHON("np.sum(data)",D9:D12)</f>
        <v>10</v>
      </c>
    </row>
    <row r="9" customFormat="false" ht="15" hidden="false" customHeight="false" outlineLevel="0" collapsed="false">
      <c r="A9" s="0" t="s">
        <v>27</v>
      </c>
      <c r="D9" s="0" t="n">
        <v>1</v>
      </c>
    </row>
    <row r="10" customFormat="false" ht="15" hidden="false" customHeight="false" outlineLevel="0" collapsed="false">
      <c r="A10" s="0" t="s">
        <v>31</v>
      </c>
      <c r="D10" s="0" t="n">
        <v>2</v>
      </c>
    </row>
    <row r="11" customFormat="false" ht="15" hidden="false" customHeight="false" outlineLevel="0" collapsed="false">
      <c r="A11" s="0" t="s">
        <v>32</v>
      </c>
      <c r="D11" s="0" t="n">
        <v>3</v>
      </c>
    </row>
    <row r="12" customFormat="false" ht="15" hidden="false" customHeight="false" outlineLevel="0" collapsed="false">
      <c r="A12" s="0" t="s">
        <v>33</v>
      </c>
      <c r="D12" s="0" t="n">
        <v>4</v>
      </c>
    </row>
    <row r="14" customFormat="false" ht="29" hidden="false" customHeight="false" outlineLevel="0" collapsed="false">
      <c r="A14" s="0" t="s">
        <v>34</v>
      </c>
      <c r="B14" s="4" t="s">
        <v>35</v>
      </c>
      <c r="C14" s="0" t="s">
        <v>36</v>
      </c>
      <c r="N14" s="0" t="n">
        <f aca="false">SUM(D15:G15)</f>
        <v>110</v>
      </c>
      <c r="O14" s="0" t="str">
        <f aca="false">IF(ABS(N14-R14)&lt;0.001,"PASS","FAIL")</f>
        <v>PASS</v>
      </c>
      <c r="P14" s="0" t="s">
        <v>37</v>
      </c>
      <c r="R14" s="4" t="n">
        <f aca="false">ORG.EXTENSION.WRITERAGENT.PYTHONFUNCTION.PYTHON("np.sum(data)",D15:G15)</f>
        <v>110</v>
      </c>
    </row>
    <row r="15" customFormat="false" ht="15" hidden="false" customHeight="false" outlineLevel="0" collapsed="false">
      <c r="A15" s="0" t="s">
        <v>27</v>
      </c>
      <c r="D15" s="0" t="n">
        <v>100</v>
      </c>
      <c r="E15" s="0" t="n">
        <v>2.5</v>
      </c>
      <c r="F15" s="0" t="n">
        <v>3</v>
      </c>
      <c r="G15" s="0" t="n">
        <v>4.5</v>
      </c>
    </row>
    <row r="17" customFormat="false" ht="29" hidden="false" customHeight="false" outlineLevel="0" collapsed="false">
      <c r="A17" s="0" t="s">
        <v>38</v>
      </c>
      <c r="B17" s="4" t="s">
        <v>39</v>
      </c>
      <c r="C17" s="0" t="s">
        <v>40</v>
      </c>
      <c r="N17" s="0" t="n">
        <f aca="false">SUM(D18:F20)</f>
        <v>45</v>
      </c>
      <c r="O17" s="0" t="str">
        <f aca="false">IF(ABS(N17-R17)&lt;0.001,"PASS","FAIL")</f>
        <v>PASS</v>
      </c>
      <c r="P17" s="0" t="s">
        <v>41</v>
      </c>
      <c r="Q17" s="4" t="s">
        <v>42</v>
      </c>
      <c r="R17" s="4" t="n">
        <f aca="false">ORG.EXTENSION.WRITERAGENT.PYTHONFUNCTION.PYTHON("np.sum(data)",D18:F20)</f>
        <v>45</v>
      </c>
    </row>
    <row r="18" customFormat="false" ht="15" hidden="false" customHeight="false" outlineLevel="0" collapsed="false">
      <c r="A18" s="0" t="s">
        <v>27</v>
      </c>
      <c r="D18" s="0" t="n">
        <v>1</v>
      </c>
      <c r="E18" s="0" t="n">
        <v>2</v>
      </c>
      <c r="F18" s="0" t="n">
        <v>3</v>
      </c>
    </row>
    <row r="19" customFormat="false" ht="15" hidden="false" customHeight="false" outlineLevel="0" collapsed="false">
      <c r="A19" s="0" t="s">
        <v>31</v>
      </c>
      <c r="D19" s="0" t="n">
        <v>4</v>
      </c>
      <c r="E19" s="0" t="n">
        <v>5</v>
      </c>
      <c r="F19" s="0" t="n">
        <v>6</v>
      </c>
    </row>
    <row r="20" customFormat="false" ht="15" hidden="false" customHeight="false" outlineLevel="0" collapsed="false">
      <c r="A20" s="0" t="s">
        <v>32</v>
      </c>
      <c r="D20" s="0" t="n">
        <v>7</v>
      </c>
      <c r="E20" s="0" t="n">
        <v>8</v>
      </c>
      <c r="F20" s="0" t="n">
        <v>9</v>
      </c>
    </row>
    <row r="22" customFormat="false" ht="42.5" hidden="false" customHeight="false" outlineLevel="0" collapsed="false">
      <c r="A22" s="0" t="s">
        <v>43</v>
      </c>
      <c r="B22" s="4" t="s">
        <v>44</v>
      </c>
      <c r="C22" s="0" t="s">
        <v>45</v>
      </c>
      <c r="N22" s="0" t="n">
        <f aca="false">SUM(D23:H24)</f>
        <v>55</v>
      </c>
      <c r="O22" s="0" t="str">
        <f aca="false">IF(ABS(N22-R22)&lt;0.001,"PASS","FAIL")</f>
        <v>PASS</v>
      </c>
      <c r="P22" s="0" t="s">
        <v>46</v>
      </c>
      <c r="Q22" s="4" t="s">
        <v>47</v>
      </c>
      <c r="R22" s="4" t="n">
        <f aca="false">ORG.EXTENSION.WRITERAGENT.PYTHONFUNCTION.PYTHON("np.sum(data)",D23:H24)</f>
        <v>55</v>
      </c>
    </row>
    <row r="23" customFormat="false" ht="15" hidden="false" customHeight="false" outlineLevel="0" collapsed="false">
      <c r="A23" s="0" t="s">
        <v>27</v>
      </c>
      <c r="D23" s="0" t="n">
        <v>1</v>
      </c>
      <c r="E23" s="0" t="n">
        <v>2</v>
      </c>
      <c r="F23" s="0" t="n">
        <v>3</v>
      </c>
      <c r="G23" s="0" t="n">
        <v>4</v>
      </c>
      <c r="H23" s="0" t="n">
        <v>5</v>
      </c>
    </row>
    <row r="24" customFormat="false" ht="15" hidden="false" customHeight="false" outlineLevel="0" collapsed="false">
      <c r="A24" s="0" t="s">
        <v>31</v>
      </c>
      <c r="D24" s="0" t="n">
        <v>6</v>
      </c>
      <c r="E24" s="0" t="n">
        <v>7</v>
      </c>
      <c r="F24" s="0" t="n">
        <v>8</v>
      </c>
      <c r="G24" s="0" t="n">
        <v>9</v>
      </c>
      <c r="H24" s="0" t="n">
        <v>10</v>
      </c>
    </row>
    <row r="26" customFormat="false" ht="29" hidden="false" customHeight="false" outlineLevel="0" collapsed="false">
      <c r="A26" s="0" t="s">
        <v>48</v>
      </c>
      <c r="B26" s="4" t="s">
        <v>49</v>
      </c>
      <c r="C26" s="0" t="s">
        <v>50</v>
      </c>
      <c r="N26" s="0" t="n">
        <f aca="false">SUM(D27:M27)</f>
        <v>55</v>
      </c>
      <c r="O26" s="0" t="str">
        <f aca="false">IF(ABS(N26-R26)&lt;0.001,"PASS","FAIL")</f>
        <v>PASS</v>
      </c>
      <c r="P26" s="0" t="s">
        <v>46</v>
      </c>
      <c r="Q26" s="4" t="s">
        <v>51</v>
      </c>
      <c r="R26" s="4" t="n">
        <f aca="false">ORG.EXTENSION.WRITERAGENT.PYTHONFUNCTION.PYTHON("np.sum(data)",D27:M27)</f>
        <v>55</v>
      </c>
    </row>
    <row r="27" customFormat="false" ht="15" hidden="false" customHeight="false" outlineLevel="0" collapsed="false">
      <c r="A27" s="0" t="s">
        <v>27</v>
      </c>
      <c r="D27" s="0" t="n">
        <v>1</v>
      </c>
      <c r="E27" s="0" t="n">
        <v>2</v>
      </c>
      <c r="F27" s="0" t="n">
        <v>3</v>
      </c>
      <c r="G27" s="0" t="n">
        <v>4</v>
      </c>
      <c r="H27" s="0" t="n">
        <v>5</v>
      </c>
      <c r="I27" s="0" t="n">
        <v>6</v>
      </c>
      <c r="J27" s="0" t="n">
        <v>7</v>
      </c>
      <c r="K27" s="0" t="n">
        <v>8</v>
      </c>
      <c r="L27" s="0" t="n">
        <v>9</v>
      </c>
      <c r="M27" s="0" t="n">
        <v>10</v>
      </c>
    </row>
    <row r="29" customFormat="false" ht="29" hidden="false" customHeight="false" outlineLevel="0" collapsed="false">
      <c r="A29" s="0" t="s">
        <v>52</v>
      </c>
      <c r="B29" s="4" t="s">
        <v>53</v>
      </c>
      <c r="C29" s="0" t="s">
        <v>54</v>
      </c>
      <c r="N29" s="0" t="n">
        <f aca="false">SUM(D30:G33)</f>
        <v>136</v>
      </c>
      <c r="O29" s="0" t="str">
        <f aca="false">IF(ABS(N29-R29)&lt;0.001,"PASS","FAIL")</f>
        <v>PASS</v>
      </c>
      <c r="P29" s="0" t="s">
        <v>55</v>
      </c>
      <c r="Q29" s="4" t="s">
        <v>56</v>
      </c>
      <c r="R29" s="4" t="n">
        <f aca="false">ORG.EXTENSION.WRITERAGENT.PYTHONFUNCTION.PYTHON("np.sum(data)",D30:G33)</f>
        <v>136</v>
      </c>
    </row>
    <row r="30" customFormat="false" ht="15" hidden="false" customHeight="false" outlineLevel="0" collapsed="false">
      <c r="A30" s="0" t="s">
        <v>27</v>
      </c>
      <c r="D30" s="0" t="n">
        <v>1</v>
      </c>
      <c r="E30" s="0" t="n">
        <v>2</v>
      </c>
      <c r="F30" s="0" t="n">
        <v>3</v>
      </c>
      <c r="G30" s="0" t="n">
        <v>4</v>
      </c>
    </row>
    <row r="31" customFormat="false" ht="15" hidden="false" customHeight="false" outlineLevel="0" collapsed="false">
      <c r="A31" s="0" t="s">
        <v>31</v>
      </c>
      <c r="D31" s="0" t="n">
        <v>5</v>
      </c>
      <c r="E31" s="0" t="n">
        <v>6</v>
      </c>
      <c r="F31" s="0" t="n">
        <v>7</v>
      </c>
      <c r="G31" s="0" t="n">
        <v>8</v>
      </c>
    </row>
    <row r="32" customFormat="false" ht="15" hidden="false" customHeight="false" outlineLevel="0" collapsed="false">
      <c r="A32" s="0" t="s">
        <v>32</v>
      </c>
      <c r="D32" s="0" t="n">
        <v>9</v>
      </c>
      <c r="E32" s="0" t="n">
        <v>10</v>
      </c>
      <c r="F32" s="0" t="n">
        <v>11</v>
      </c>
      <c r="G32" s="0" t="n">
        <v>12</v>
      </c>
    </row>
    <row r="33" customFormat="false" ht="15" hidden="false" customHeight="false" outlineLevel="0" collapsed="false">
      <c r="A33" s="0" t="s">
        <v>33</v>
      </c>
      <c r="D33" s="0" t="n">
        <v>13</v>
      </c>
      <c r="E33" s="0" t="n">
        <v>14</v>
      </c>
      <c r="F33" s="0" t="n">
        <v>15</v>
      </c>
      <c r="G33" s="0" t="n">
        <v>16</v>
      </c>
    </row>
    <row r="35" customFormat="false" ht="29" hidden="false" customHeight="false" outlineLevel="0" collapsed="false">
      <c r="A35" s="0" t="s">
        <v>57</v>
      </c>
      <c r="B35" s="4" t="s">
        <v>58</v>
      </c>
      <c r="C35" s="0" t="s">
        <v>59</v>
      </c>
      <c r="N35" s="0" t="n">
        <f aca="false">SUM(D36:F39)</f>
        <v>78</v>
      </c>
      <c r="O35" s="0" t="str">
        <f aca="false">IF(ABS(N35-R35)&lt;0.001,"PASS","FAIL")</f>
        <v>PASS</v>
      </c>
      <c r="P35" s="0" t="s">
        <v>60</v>
      </c>
      <c r="Q35" s="4" t="s">
        <v>61</v>
      </c>
      <c r="R35" s="4" t="n">
        <f aca="false">ORG.EXTENSION.WRITERAGENT.PYTHONFUNCTION.PYTHON("np.sum(data)",D36:F39)</f>
        <v>78</v>
      </c>
    </row>
    <row r="36" customFormat="false" ht="15" hidden="false" customHeight="false" outlineLevel="0" collapsed="false">
      <c r="A36" s="0" t="s">
        <v>27</v>
      </c>
      <c r="D36" s="0" t="n">
        <v>1</v>
      </c>
      <c r="E36" s="0" t="n">
        <v>2</v>
      </c>
      <c r="F36" s="0" t="n">
        <v>3</v>
      </c>
    </row>
    <row r="37" customFormat="false" ht="15" hidden="false" customHeight="false" outlineLevel="0" collapsed="false">
      <c r="A37" s="0" t="s">
        <v>31</v>
      </c>
      <c r="D37" s="0" t="n">
        <v>4</v>
      </c>
      <c r="E37" s="0" t="n">
        <v>5</v>
      </c>
      <c r="F37" s="0" t="n">
        <v>6</v>
      </c>
    </row>
    <row r="38" customFormat="false" ht="15" hidden="false" customHeight="false" outlineLevel="0" collapsed="false">
      <c r="A38" s="0" t="s">
        <v>32</v>
      </c>
      <c r="D38" s="0" t="n">
        <v>7</v>
      </c>
      <c r="E38" s="0" t="n">
        <v>8</v>
      </c>
      <c r="F38" s="0" t="n">
        <v>9</v>
      </c>
    </row>
    <row r="39" customFormat="false" ht="15" hidden="false" customHeight="false" outlineLevel="0" collapsed="false">
      <c r="A39" s="0" t="s">
        <v>33</v>
      </c>
      <c r="D39" s="0" t="n">
        <v>10</v>
      </c>
      <c r="E39" s="0" t="n">
        <v>11</v>
      </c>
      <c r="F39" s="0" t="n">
        <v>12</v>
      </c>
    </row>
    <row r="41" customFormat="false" ht="29" hidden="false" customHeight="false" outlineLevel="0" collapsed="false">
      <c r="A41" s="0" t="s">
        <v>62</v>
      </c>
      <c r="B41" s="4" t="s">
        <v>63</v>
      </c>
      <c r="C41" s="0" t="s">
        <v>54</v>
      </c>
      <c r="N41" s="0" t="n">
        <f aca="false">MAX(D42:G45)</f>
        <v>16</v>
      </c>
      <c r="O41" s="0" t="str">
        <f aca="false">IF(ABS(N41-R41)&lt;0.001,"PASS","FAIL")</f>
        <v>PASS</v>
      </c>
      <c r="P41" s="0" t="s">
        <v>64</v>
      </c>
      <c r="Q41" s="4" t="s">
        <v>65</v>
      </c>
      <c r="R41" s="4" t="n">
        <f aca="false">ORG.EXTENSION.WRITERAGENT.PYTHONFUNCTION.PYTHON("np.max(data)",D42:G45)</f>
        <v>16</v>
      </c>
    </row>
    <row r="42" customFormat="false" ht="15" hidden="false" customHeight="false" outlineLevel="0" collapsed="false">
      <c r="A42" s="0" t="s">
        <v>27</v>
      </c>
      <c r="D42" s="0" t="n">
        <v>1</v>
      </c>
      <c r="E42" s="0" t="n">
        <v>2</v>
      </c>
      <c r="F42" s="0" t="n">
        <v>3</v>
      </c>
      <c r="G42" s="0" t="n">
        <v>4</v>
      </c>
    </row>
    <row r="43" customFormat="false" ht="15" hidden="false" customHeight="false" outlineLevel="0" collapsed="false">
      <c r="A43" s="0" t="s">
        <v>31</v>
      </c>
      <c r="D43" s="0" t="n">
        <v>5</v>
      </c>
      <c r="E43" s="0" t="n">
        <v>6</v>
      </c>
      <c r="F43" s="0" t="n">
        <v>7</v>
      </c>
      <c r="G43" s="0" t="n">
        <v>8</v>
      </c>
    </row>
    <row r="44" customFormat="false" ht="15" hidden="false" customHeight="false" outlineLevel="0" collapsed="false">
      <c r="A44" s="0" t="s">
        <v>32</v>
      </c>
      <c r="D44" s="0" t="n">
        <v>9</v>
      </c>
      <c r="E44" s="0" t="n">
        <v>10</v>
      </c>
      <c r="F44" s="0" t="n">
        <v>11</v>
      </c>
      <c r="G44" s="0" t="n">
        <v>12</v>
      </c>
    </row>
    <row r="45" customFormat="false" ht="15" hidden="false" customHeight="false" outlineLevel="0" collapsed="false">
      <c r="A45" s="0" t="s">
        <v>33</v>
      </c>
      <c r="D45" s="0" t="n">
        <v>13</v>
      </c>
      <c r="E45" s="0" t="n">
        <v>14</v>
      </c>
      <c r="F45" s="0" t="n">
        <v>15</v>
      </c>
      <c r="G45" s="0" t="n">
        <v>16</v>
      </c>
    </row>
    <row r="47" customFormat="false" ht="42.5" hidden="false" customHeight="false" outlineLevel="0" collapsed="false">
      <c r="A47" s="0" t="s">
        <v>66</v>
      </c>
      <c r="B47" s="4" t="s">
        <v>67</v>
      </c>
      <c r="C47" s="0" t="s">
        <v>68</v>
      </c>
      <c r="N47" s="0" t="n">
        <f aca="false">SUM(D48)</f>
        <v>1</v>
      </c>
      <c r="O47" s="0" t="str">
        <f aca="false">IF(ABS(N47-R47)&lt;0.001,"PASS","FAIL")</f>
        <v>PASS</v>
      </c>
      <c r="P47" s="0" t="s">
        <v>69</v>
      </c>
      <c r="Q47" s="4" t="s">
        <v>70</v>
      </c>
      <c r="R47" s="4" t="n">
        <f aca="false">ORG.EXTENSION.WRITERAGENT.PYTHONFUNCTION.PYTHON("np.sum(data)",D48)</f>
        <v>1</v>
      </c>
    </row>
    <row r="48" customFormat="false" ht="15" hidden="false" customHeight="false" outlineLevel="0" collapsed="false">
      <c r="A48" s="0" t="s">
        <v>27</v>
      </c>
      <c r="D48" s="0" t="n">
        <v>1</v>
      </c>
    </row>
    <row r="50" customFormat="false" ht="42.5" hidden="false" customHeight="false" outlineLevel="0" collapsed="false">
      <c r="A50" s="0" t="s">
        <v>71</v>
      </c>
      <c r="B50" s="4" t="s">
        <v>72</v>
      </c>
      <c r="C50" s="0" t="s">
        <v>68</v>
      </c>
      <c r="N50" s="0" t="n">
        <f aca="false">SUM(D51)</f>
        <v>0</v>
      </c>
      <c r="O50" s="0" t="str">
        <f aca="false">IF(ABS(N50-R50)&lt;0.001,"PASS","FAIL")</f>
        <v>PASS</v>
      </c>
      <c r="P50" s="0" t="s">
        <v>73</v>
      </c>
      <c r="Q50" s="4" t="s">
        <v>74</v>
      </c>
      <c r="R50" s="4" t="n">
        <f aca="false">ORG.EXTENSION.WRITERAGENT.PYTHONFUNCTION.PYTHON("np.sum(data)",D51)</f>
        <v>0</v>
      </c>
    </row>
    <row r="51" customFormat="false" ht="15" hidden="false" customHeight="false" outlineLevel="0" collapsed="false">
      <c r="A51" s="0" t="s">
        <v>27</v>
      </c>
      <c r="D51" s="0" t="n">
        <v>0</v>
      </c>
    </row>
    <row r="53" customFormat="false" ht="29" hidden="false" customHeight="false" outlineLevel="0" collapsed="false">
      <c r="A53" s="0" t="s">
        <v>75</v>
      </c>
      <c r="B53" s="4" t="s">
        <v>76</v>
      </c>
      <c r="C53" s="0" t="s">
        <v>77</v>
      </c>
      <c r="N53" s="0" t="n">
        <f aca="false">SUM(D54:D64)</f>
        <v>7</v>
      </c>
      <c r="O53" s="0" t="str">
        <f aca="false">IF(ABS(N53-R53)&lt;0.001,"PASS","FAIL")</f>
        <v>PASS</v>
      </c>
      <c r="P53" s="0" t="s">
        <v>78</v>
      </c>
      <c r="Q53" s="4" t="s">
        <v>79</v>
      </c>
      <c r="R53" s="4" t="n">
        <f aca="false">ORG.EXTENSION.WRITERAGENT.PYTHONFUNCTION.PYTHON("np.sum(data)",D54:D64)</f>
        <v>7</v>
      </c>
    </row>
    <row r="54" customFormat="false" ht="15" hidden="false" customHeight="false" outlineLevel="0" collapsed="false">
      <c r="A54" s="0" t="s">
        <v>27</v>
      </c>
      <c r="D54" s="0" t="n">
        <v>1</v>
      </c>
    </row>
    <row r="55" customFormat="false" ht="15" hidden="false" customHeight="false" outlineLevel="0" collapsed="false">
      <c r="A55" s="0" t="s">
        <v>31</v>
      </c>
      <c r="D55" s="0" t="n">
        <v>1</v>
      </c>
    </row>
    <row r="56" customFormat="false" ht="15" hidden="false" customHeight="false" outlineLevel="0" collapsed="false">
      <c r="A56" s="0" t="s">
        <v>32</v>
      </c>
      <c r="D56" s="0" t="n">
        <v>1</v>
      </c>
    </row>
    <row r="57" customFormat="false" ht="15" hidden="false" customHeight="false" outlineLevel="0" collapsed="false">
      <c r="A57" s="0" t="s">
        <v>33</v>
      </c>
      <c r="D57" s="0" t="n">
        <v>0</v>
      </c>
    </row>
    <row r="58" customFormat="false" ht="15" hidden="false" customHeight="false" outlineLevel="0" collapsed="false">
      <c r="A58" s="0" t="s">
        <v>80</v>
      </c>
      <c r="D58" s="0" t="n">
        <v>1</v>
      </c>
    </row>
    <row r="59" customFormat="false" ht="15" hidden="false" customHeight="false" outlineLevel="0" collapsed="false">
      <c r="A59" s="0" t="s">
        <v>81</v>
      </c>
      <c r="D59" s="0" t="n">
        <v>0</v>
      </c>
    </row>
    <row r="60" customFormat="false" ht="15" hidden="false" customHeight="false" outlineLevel="0" collapsed="false">
      <c r="A60" s="0" t="s">
        <v>82</v>
      </c>
      <c r="D60" s="0" t="n">
        <v>1</v>
      </c>
    </row>
    <row r="61" customFormat="false" ht="15" hidden="false" customHeight="false" outlineLevel="0" collapsed="false">
      <c r="A61" s="0" t="s">
        <v>83</v>
      </c>
      <c r="D61" s="0" t="n">
        <v>0</v>
      </c>
    </row>
    <row r="62" customFormat="false" ht="15" hidden="false" customHeight="false" outlineLevel="0" collapsed="false">
      <c r="A62" s="0" t="s">
        <v>84</v>
      </c>
      <c r="D62" s="0" t="n">
        <v>1</v>
      </c>
    </row>
    <row r="63" customFormat="false" ht="15" hidden="false" customHeight="false" outlineLevel="0" collapsed="false">
      <c r="A63" s="0" t="s">
        <v>85</v>
      </c>
      <c r="D63" s="0" t="n">
        <v>1</v>
      </c>
    </row>
    <row r="64" customFormat="false" ht="15" hidden="false" customHeight="false" outlineLevel="0" collapsed="false">
      <c r="A64" s="0" t="s">
        <v>86</v>
      </c>
      <c r="D64" s="0" t="n">
        <v>0</v>
      </c>
    </row>
    <row r="67" customFormat="false" ht="15" hidden="false" customHeight="false" outlineLevel="0" collapsed="false">
      <c r="A67" s="3" t="s">
        <v>87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29" hidden="false" customHeight="false" outlineLevel="0" collapsed="false">
      <c r="A68" s="0" t="s">
        <v>88</v>
      </c>
      <c r="B68" s="4" t="s">
        <v>89</v>
      </c>
      <c r="C68" s="0" t="s">
        <v>90</v>
      </c>
      <c r="N68" s="0" t="str">
        <f aca="false">INDEX(D69:F69,1)</f>
        <v>02138</v>
      </c>
      <c r="O68" s="0" t="str">
        <f aca="false">IF(R68="02138","PASS","FAIL")</f>
        <v>PASS</v>
      </c>
      <c r="P68" s="0" t="s">
        <v>91</v>
      </c>
      <c r="Q68" s="4" t="s">
        <v>92</v>
      </c>
      <c r="R68" s="4" t="str">
        <f aca="false">ORG.EXTENSION.WRITERAGENT.PYTHONFUNCTION.PYTHON("data[0]",D69:F69)</f>
        <v>02138</v>
      </c>
    </row>
    <row r="69" customFormat="false" ht="15" hidden="false" customHeight="false" outlineLevel="0" collapsed="false">
      <c r="A69" s="0" t="s">
        <v>27</v>
      </c>
      <c r="D69" s="0" t="s">
        <v>91</v>
      </c>
      <c r="E69" s="0" t="n">
        <v>1</v>
      </c>
      <c r="F69" s="0" t="n">
        <v>2</v>
      </c>
    </row>
    <row r="71" customFormat="false" ht="29" hidden="false" customHeight="false" outlineLevel="0" collapsed="false">
      <c r="A71" s="0" t="s">
        <v>93</v>
      </c>
      <c r="B71" s="4" t="s">
        <v>94</v>
      </c>
      <c r="C71" s="0" t="s">
        <v>95</v>
      </c>
      <c r="N71" s="0" t="n">
        <f aca="false">SUM(D72:F75)</f>
        <v>110</v>
      </c>
      <c r="O71" s="0" t="str">
        <f aca="false">IF(ABS(N71-R71)&lt;0.001,"PASS","FAIL")</f>
        <v>PASS</v>
      </c>
      <c r="P71" s="0" t="s">
        <v>37</v>
      </c>
      <c r="Q71" s="4" t="s">
        <v>96</v>
      </c>
      <c r="R71" s="4" t="n">
        <f aca="false">ORG.EXTENSION.WRITERAGENT.PYTHONFUNCTION.PYTHON("sum(v for row in data for v in row if isinstance(v, (int, float)))",D72:F75)</f>
        <v>110</v>
      </c>
    </row>
    <row r="72" customFormat="false" ht="15" hidden="false" customHeight="false" outlineLevel="0" collapsed="false">
      <c r="A72" s="0" t="s">
        <v>27</v>
      </c>
      <c r="D72" s="0" t="n">
        <v>1</v>
      </c>
      <c r="E72" s="0" t="s">
        <v>97</v>
      </c>
      <c r="F72" s="0" t="n">
        <v>10</v>
      </c>
    </row>
    <row r="73" customFormat="false" ht="15" hidden="false" customHeight="false" outlineLevel="0" collapsed="false">
      <c r="A73" s="0" t="s">
        <v>31</v>
      </c>
      <c r="D73" s="0" t="n">
        <v>2</v>
      </c>
      <c r="E73" s="0" t="s">
        <v>98</v>
      </c>
      <c r="F73" s="0" t="n">
        <v>20</v>
      </c>
    </row>
    <row r="74" customFormat="false" ht="15" hidden="false" customHeight="false" outlineLevel="0" collapsed="false">
      <c r="A74" s="0" t="s">
        <v>32</v>
      </c>
      <c r="D74" s="0" t="n">
        <v>3</v>
      </c>
      <c r="E74" s="0" t="s">
        <v>99</v>
      </c>
      <c r="F74" s="0" t="n">
        <v>30</v>
      </c>
    </row>
    <row r="75" customFormat="false" ht="15" hidden="false" customHeight="false" outlineLevel="0" collapsed="false">
      <c r="A75" s="0" t="s">
        <v>33</v>
      </c>
      <c r="D75" s="0" t="n">
        <v>4</v>
      </c>
      <c r="E75" s="0" t="s">
        <v>100</v>
      </c>
      <c r="F75" s="0" t="n">
        <v>40</v>
      </c>
    </row>
    <row r="77" customFormat="false" ht="29" hidden="false" customHeight="false" outlineLevel="0" collapsed="false">
      <c r="A77" s="0" t="s">
        <v>101</v>
      </c>
      <c r="B77" s="4" t="s">
        <v>102</v>
      </c>
      <c r="C77" s="0" t="s">
        <v>103</v>
      </c>
      <c r="N77" s="0" t="str">
        <f aca="false">INDEX(D78:E81,1,1)</f>
        <v>São Paulo</v>
      </c>
      <c r="O77" s="0" t="str">
        <f aca="false">IF(R77="São Paulo","PASS","FAIL")</f>
        <v>PASS</v>
      </c>
      <c r="P77" s="0" t="s">
        <v>104</v>
      </c>
      <c r="R77" s="4" t="str">
        <f aca="false">ORG.EXTENSION.WRITERAGENT.PYTHONFUNCTION.PYTHON("data[0]",D78:E81)</f>
        <v>São Paulo</v>
      </c>
    </row>
    <row r="78" customFormat="false" ht="15" hidden="false" customHeight="false" outlineLevel="0" collapsed="false">
      <c r="A78" s="0" t="s">
        <v>27</v>
      </c>
      <c r="D78" s="0" t="s">
        <v>104</v>
      </c>
      <c r="E78" s="0" t="n">
        <v>5</v>
      </c>
    </row>
    <row r="79" customFormat="false" ht="15" hidden="false" customHeight="false" outlineLevel="0" collapsed="false">
      <c r="A79" s="0" t="s">
        <v>31</v>
      </c>
      <c r="D79" s="5" t="s">
        <v>105</v>
      </c>
      <c r="E79" s="0" t="n">
        <v>7</v>
      </c>
    </row>
    <row r="80" customFormat="false" ht="15" hidden="false" customHeight="false" outlineLevel="0" collapsed="false">
      <c r="A80" s="0" t="s">
        <v>32</v>
      </c>
      <c r="E80" s="0" t="n">
        <v>9</v>
      </c>
    </row>
    <row r="81" customFormat="false" ht="15" hidden="false" customHeight="false" outlineLevel="0" collapsed="false">
      <c r="A81" s="0" t="s">
        <v>33</v>
      </c>
      <c r="D81" s="0" t="s">
        <v>98</v>
      </c>
      <c r="E81" s="0" t="n">
        <v>11</v>
      </c>
    </row>
    <row r="84" customFormat="false" ht="15" hidden="false" customHeight="false" outlineLevel="0" collapsed="false">
      <c r="A84" s="3" t="s">
        <v>106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29" hidden="false" customHeight="false" outlineLevel="0" collapsed="false">
      <c r="A85" s="0" t="s">
        <v>107</v>
      </c>
      <c r="B85" s="4" t="s">
        <v>108</v>
      </c>
      <c r="C85" s="0" t="s">
        <v>109</v>
      </c>
      <c r="N85" s="0" t="e">
        <f aca="false">INDEX(D86:G89,ROW()-85,COLUMN()-3)*2</f>
        <v>#REF!</v>
      </c>
      <c r="O85" s="0" t="s">
        <v>110</v>
      </c>
      <c r="Q85" s="4" t="s">
        <v>111</v>
      </c>
      <c r="R85" s="4" t="n">
        <f aca="false">ORG.EXTENSION.WRITERAGENT.PYTHONFUNCTION.PYTHON("np.array(data) * 2",D86:G89)</f>
        <v>2</v>
      </c>
    </row>
    <row r="86" customFormat="false" ht="15" hidden="false" customHeight="false" outlineLevel="0" collapsed="false">
      <c r="A86" s="0" t="s">
        <v>27</v>
      </c>
      <c r="D86" s="0" t="n">
        <v>1</v>
      </c>
      <c r="E86" s="0" t="n">
        <v>2</v>
      </c>
      <c r="F86" s="0" t="n">
        <v>3</v>
      </c>
      <c r="G86" s="0" t="n">
        <v>4</v>
      </c>
    </row>
    <row r="87" customFormat="false" ht="15" hidden="false" customHeight="false" outlineLevel="0" collapsed="false">
      <c r="A87" s="0" t="s">
        <v>31</v>
      </c>
      <c r="D87" s="0" t="n">
        <v>5</v>
      </c>
      <c r="E87" s="0" t="n">
        <v>6</v>
      </c>
      <c r="F87" s="0" t="n">
        <v>7</v>
      </c>
      <c r="G87" s="0" t="n">
        <v>8</v>
      </c>
    </row>
    <row r="88" customFormat="false" ht="15" hidden="false" customHeight="false" outlineLevel="0" collapsed="false">
      <c r="A88" s="0" t="s">
        <v>32</v>
      </c>
      <c r="D88" s="0" t="n">
        <v>9</v>
      </c>
      <c r="E88" s="0" t="n">
        <v>10</v>
      </c>
      <c r="F88" s="0" t="n">
        <v>11</v>
      </c>
      <c r="G88" s="0" t="n">
        <v>12</v>
      </c>
    </row>
    <row r="89" customFormat="false" ht="15" hidden="false" customHeight="false" outlineLevel="0" collapsed="false">
      <c r="A89" s="0" t="s">
        <v>33</v>
      </c>
      <c r="D89" s="0" t="n">
        <v>13</v>
      </c>
      <c r="E89" s="0" t="n">
        <v>14</v>
      </c>
      <c r="F89" s="0" t="n">
        <v>15</v>
      </c>
      <c r="G89" s="0" t="n">
        <v>16</v>
      </c>
    </row>
    <row r="91" customFormat="false" ht="29" hidden="false" customHeight="false" outlineLevel="0" collapsed="false">
      <c r="A91" s="0" t="s">
        <v>112</v>
      </c>
      <c r="B91" s="4" t="s">
        <v>113</v>
      </c>
      <c r="C91" s="0" t="s">
        <v>109</v>
      </c>
      <c r="N91" s="0" t="e">
        <f aca="false">INDEX(D92:G95,ROW()-91,COLUMN()-3)</f>
        <v>#REF!</v>
      </c>
      <c r="O91" s="0" t="s">
        <v>110</v>
      </c>
      <c r="Q91" s="4" t="s">
        <v>114</v>
      </c>
      <c r="R91" s="4" t="n">
        <f aca="false">ORG.EXTENSION.WRITERAGENT.PYTHONFUNCTION.PYTHON("data",D92:G95)</f>
        <v>1</v>
      </c>
    </row>
    <row r="92" customFormat="false" ht="15" hidden="false" customHeight="false" outlineLevel="0" collapsed="false">
      <c r="A92" s="0" t="s">
        <v>27</v>
      </c>
      <c r="D92" s="0" t="n">
        <v>1</v>
      </c>
      <c r="E92" s="0" t="n">
        <v>2</v>
      </c>
      <c r="F92" s="0" t="n">
        <v>3</v>
      </c>
      <c r="G92" s="0" t="n">
        <v>4</v>
      </c>
    </row>
    <row r="93" customFormat="false" ht="15" hidden="false" customHeight="false" outlineLevel="0" collapsed="false">
      <c r="A93" s="0" t="s">
        <v>31</v>
      </c>
      <c r="D93" s="0" t="n">
        <v>5</v>
      </c>
      <c r="E93" s="0" t="n">
        <v>6</v>
      </c>
      <c r="F93" s="0" t="n">
        <v>7</v>
      </c>
      <c r="G93" s="0" t="n">
        <v>8</v>
      </c>
    </row>
    <row r="94" customFormat="false" ht="15" hidden="false" customHeight="false" outlineLevel="0" collapsed="false">
      <c r="A94" s="0" t="s">
        <v>32</v>
      </c>
      <c r="D94" s="0" t="n">
        <v>9</v>
      </c>
      <c r="E94" s="0" t="n">
        <v>10</v>
      </c>
      <c r="F94" s="0" t="n">
        <v>11</v>
      </c>
      <c r="G94" s="0" t="n">
        <v>12</v>
      </c>
    </row>
    <row r="95" customFormat="false" ht="15" hidden="false" customHeight="false" outlineLevel="0" collapsed="false">
      <c r="A95" s="0" t="s">
        <v>33</v>
      </c>
      <c r="D95" s="0" t="n">
        <v>13</v>
      </c>
      <c r="E95" s="0" t="n">
        <v>14</v>
      </c>
      <c r="F95" s="0" t="n">
        <v>15</v>
      </c>
      <c r="G95" s="0" t="n">
        <v>16</v>
      </c>
    </row>
    <row r="98" customFormat="false" ht="15" hidden="false" customHeight="false" outlineLevel="0" collapsed="false">
      <c r="A98" s="3" t="s">
        <v>115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customFormat="false" ht="29" hidden="false" customHeight="false" outlineLevel="0" collapsed="false">
      <c r="A99" s="0" t="s">
        <v>116</v>
      </c>
      <c r="B99" s="4" t="s">
        <v>117</v>
      </c>
      <c r="C99" s="0" t="s">
        <v>118</v>
      </c>
      <c r="N99" s="0" t="n">
        <f aca="false">SUM(D100:G103)</f>
        <v>114</v>
      </c>
      <c r="O99" s="0" t="str">
        <f aca="false">IF(ABS(N99-R99)&lt;0.001,"PASS","FAIL")</f>
        <v>PASS</v>
      </c>
      <c r="P99" s="0" t="s">
        <v>119</v>
      </c>
      <c r="Q99" s="4" t="s">
        <v>120</v>
      </c>
      <c r="R99" s="4" t="n">
        <f aca="false">ORG.EXTENSION.WRITERAGENT.PYTHONFUNCTION.PYTHON("np.nansum(data)",D100:G103)</f>
        <v>114</v>
      </c>
    </row>
    <row r="100" customFormat="false" ht="15" hidden="false" customHeight="false" outlineLevel="0" collapsed="false">
      <c r="A100" s="0" t="s">
        <v>27</v>
      </c>
      <c r="D100" s="0" t="n">
        <v>1</v>
      </c>
      <c r="F100" s="0" t="n">
        <v>3</v>
      </c>
      <c r="G100" s="0" t="n">
        <v>4</v>
      </c>
    </row>
    <row r="101" customFormat="false" ht="15" hidden="false" customHeight="false" outlineLevel="0" collapsed="false">
      <c r="A101" s="0" t="s">
        <v>31</v>
      </c>
      <c r="D101" s="0" t="n">
        <v>5</v>
      </c>
      <c r="E101" s="0" t="n">
        <v>6</v>
      </c>
      <c r="G101" s="0" t="n">
        <v>8</v>
      </c>
    </row>
    <row r="102" customFormat="false" ht="15" hidden="false" customHeight="false" outlineLevel="0" collapsed="false">
      <c r="A102" s="0" t="s">
        <v>32</v>
      </c>
      <c r="D102" s="0" t="n">
        <v>9</v>
      </c>
      <c r="E102" s="0" t="n">
        <v>10</v>
      </c>
      <c r="F102" s="0" t="n">
        <v>11</v>
      </c>
      <c r="G102" s="0" t="n">
        <v>12</v>
      </c>
    </row>
    <row r="103" customFormat="false" ht="15" hidden="false" customHeight="false" outlineLevel="0" collapsed="false">
      <c r="A103" s="0" t="s">
        <v>33</v>
      </c>
      <c r="E103" s="0" t="n">
        <v>14</v>
      </c>
      <c r="F103" s="0" t="n">
        <v>15</v>
      </c>
      <c r="G103" s="0" t="n">
        <v>16</v>
      </c>
    </row>
    <row r="106" customFormat="false" ht="15" hidden="false" customHeight="false" outlineLevel="0" collapsed="false">
      <c r="A106" s="3" t="s">
        <v>121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customFormat="false" ht="15.5" hidden="false" customHeight="false" outlineLevel="0" collapsed="false">
      <c r="A107" s="0" t="s">
        <v>122</v>
      </c>
      <c r="B107" s="4" t="s">
        <v>123</v>
      </c>
      <c r="C107" s="0" t="s">
        <v>124</v>
      </c>
      <c r="O107" s="0" t="str">
        <f aca="false">IF(LEFT(R107,6)="Error:","PASS","FAIL")</f>
        <v>PASS</v>
      </c>
      <c r="P107" s="0" t="s">
        <v>125</v>
      </c>
      <c r="R107" s="4" t="str">
        <f aca="false">ORG.EXTENSION.WRITERAGENT.PYTHONFUNCTION.PYTHON("1 +")</f>
        <v>Error: Code parsing failed on line 5 due to: SyntaxError: invalid syntax (&lt;unknown&gt;, line 5)
1 +
    ^</v>
      </c>
    </row>
    <row r="108" customFormat="false" ht="15" hidden="false" customHeight="false" outlineLevel="0" collapsed="false">
      <c r="A108" s="0" t="s">
        <v>27</v>
      </c>
      <c r="D108" s="0" t="n">
        <v>1</v>
      </c>
    </row>
    <row r="110" customFormat="false" ht="15.5" hidden="false" customHeight="false" outlineLevel="0" collapsed="false">
      <c r="A110" s="0" t="s">
        <v>126</v>
      </c>
      <c r="B110" s="4" t="s">
        <v>127</v>
      </c>
      <c r="C110" s="0" t="s">
        <v>124</v>
      </c>
      <c r="O110" s="0" t="str">
        <f aca="false">IF(LEFT(R110,6)="Error:","PASS","FAIL")</f>
        <v>PASS</v>
      </c>
      <c r="P110" s="0" t="s">
        <v>125</v>
      </c>
      <c r="R110" s="4" t="str">
        <f aca="false">ORG.EXTENSION.WRITERAGENT.PYTHONFUNCTION.PYTHON("import os")</f>
        <v>Error: Code execution failed at line 'import os' due to: InterpreterError: Import of os is not allowed. Authorized imports are: ['fractions', 'random', 'pandas.*', 'functools', 'scipy', 'statsmodels', 'statsmodels.*', 'seaborn', 'pandas', 'decimal', 'json', 'matplotlib', 'datetime', 'cv2', 'copy', 'scipy.*', 'sympy', 'numpy', 'networkx.*', 'unicodedata', 'dataclasses', 'sklearn.*', 'sklearn', 'numpy.*', 'seaborn.*', 'time', 'csv', 'typing', 'itertools', 'PIL.*', 'statistics', 'textwrap', 'collections', 'platform', 'pprint', 'PIL', 'queue', 'stat', 're', 'enum', 'operator', 'string', 'networkx', 'matplotlib.*', 'math', 'sympy.*']</v>
      </c>
    </row>
    <row r="111" customFormat="false" ht="15" hidden="false" customHeight="false" outlineLevel="0" collapsed="false">
      <c r="A111" s="0" t="s">
        <v>27</v>
      </c>
      <c r="D111" s="0" t="n">
        <v>1</v>
      </c>
    </row>
  </sheetData>
  <mergeCells count="5">
    <mergeCell ref="A2:R2"/>
    <mergeCell ref="A67:R67"/>
    <mergeCell ref="A84:R84"/>
    <mergeCell ref="A98:R98"/>
    <mergeCell ref="A106:R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2026-05-23T18:28:42Z</dcterms:created>
  <dc:creator>openpyxl</dc:creator>
  <dc:description/>
  <dc:language>en-US</dc:language>
  <cp:lastModifiedBy/>
  <dcterms:modified xsi:type="dcterms:W3CDTF">2026-05-23T14:29:54Z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riterAgentSessionID">
    <vt:lpwstr>6de359f1e6b4b04c35564a33d28d342c8bf58cd849df6065ba52bfb4bdfc0669</vt:lpwstr>
  </property>
</Properties>
</file>