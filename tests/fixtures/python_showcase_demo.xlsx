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  <sheet xmlns:r="http://schemas.openxmlformats.org/officeDocument/2006/relationships" name="SQL_DuckDB" sheetId="8" state="visible" r:id="rId8"/>
  </sheets>
  <definedNames>
    <definedName name="SalesData">Sales_Analytics!A4:J39</definedName>
    <definedName name="MarketingData">Statistics_ML!A4:G24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  <font>
      <name val="Consolas"/>
      <color rgb="000F172A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top" wrapText="1" indent="1"/>
    </xf>
    <xf numFmtId="0" fontId="8" fillId="5" borderId="0" applyAlignment="1" pivotButton="0" quotePrefix="0" xfId="0">
      <alignment vertical="center" wrapText="1" indent="1"/>
    </xf>
    <xf numFmtId="0" fontId="6" fillId="5" borderId="0" pivotButton="0" quotePrefix="0" xfId="0"/>
    <xf numFmtId="0" fontId="11" fillId="9" borderId="2" applyAlignment="1" pivotButton="0" quotePrefix="0" xfId="0">
      <alignment vertical="center" wrapText="1" indent="1"/>
    </xf>
    <xf numFmtId="0" fontId="9" fillId="8" borderId="2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ORG.EXTENSION.WRITERAGENT.PYTHONFUNCTION.PY("f'${sum(r[7] for r in data[1:]):,.2f}'", Sales_Analytics!A4:J39)</f>
        <v/>
      </c>
      <c r="C6" s="5">
        <f>ORG.EXTENSION.WRITERAGENT.PYTHONFUNCTION.PY("f'{sum(r[7] * (0.28 if r[3]=='Electronics' else 0.30 if r[3]=='Furniture' else 0.22) for r in data[1:]) / sum(r[7] for r in data[1:]):.1%}'", Sales_Analytics!A4:J39)</f>
        <v/>
      </c>
      <c r="E6" s="5">
        <f>ORG.EXTENSION.WRITERAGENT.PYTHONFUNCTION.PY("f'{int(data)} Detected'", Sales_Analytics!F47)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  <col width="12" customWidth="1" min="10" max="10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  <c r="J4" s="9" t="inlineStr">
        <is>
          <t>ZIP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  <c r="J5" s="10" t="inlineStr">
        <is>
          <t>10001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  <c r="J6" s="11" t="inlineStr">
        <is>
          <t>75201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  <c r="J7" s="10" t="inlineStr">
        <is>
          <t>21201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  <c r="J8" s="11" t="inlineStr">
        <is>
          <t>80202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  <c r="J9" s="10" t="inlineStr">
        <is>
          <t>10001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  <c r="J10" s="11" t="inlineStr">
        <is>
          <t>20001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  <c r="J11" s="10" t="inlineStr">
        <is>
          <t>33131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  <c r="J12" s="11" t="inlineStr">
        <is>
          <t>80202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  <c r="J13" s="10" t="inlineStr">
        <is>
          <t>10001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  <c r="J14" s="11" t="inlineStr">
        <is>
          <t>75201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  <c r="J15" s="10" t="inlineStr">
        <is>
          <t>21201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  <c r="J16" s="11" t="inlineStr">
        <is>
          <t>80202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  <c r="J17" s="10" t="inlineStr">
        <is>
          <t>10001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  <c r="J18" s="11" t="inlineStr">
        <is>
          <t>75201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  <c r="J19" s="10" t="inlineStr">
        <is>
          <t>21201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  <c r="J20" s="11" t="inlineStr">
        <is>
          <t>80202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  <c r="J21" s="10" t="inlineStr">
        <is>
          <t>10001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  <c r="J22" s="11" t="inlineStr">
        <is>
          <t>75201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  <c r="J23" s="10" t="inlineStr">
        <is>
          <t>21201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  <c r="J24" s="11" t="inlineStr">
        <is>
          <t>80202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  <c r="J25" s="10" t="inlineStr">
        <is>
          <t>10001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  <c r="J26" s="11" t="inlineStr">
        <is>
          <t>75201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  <c r="J27" s="10" t="inlineStr">
        <is>
          <t>21201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  <c r="J28" s="11" t="inlineStr">
        <is>
          <t>80202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  <c r="J29" s="10" t="inlineStr">
        <is>
          <t>10001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  <c r="J30" s="11" t="inlineStr">
        <is>
          <t>75201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  <c r="J31" s="10" t="inlineStr">
        <is>
          <t>21201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  <c r="J32" s="11" t="inlineStr">
        <is>
          <t>80202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  <c r="J33" s="10" t="inlineStr">
        <is>
          <t>10001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  <c r="J34" s="11" t="inlineStr">
        <is>
          <t>75201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  <c r="J35" s="10" t="inlineStr">
        <is>
          <t>21201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  <c r="J36" s="11" t="inlineStr">
        <is>
          <t>80202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  <c r="J37" s="10" t="inlineStr">
        <is>
          <t>10001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  <c r="J38" s="11" t="inlineStr">
        <is>
          <t>75201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  <c r="J39" s="10" t="inlineStr">
        <is>
          <t>21201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G43" s="13">
        <f>ORG.EXTENSION.WRITERAGENT.PYTHONFUNCTION.PY("sum(r[7] for r in data[1:] if r[4]=='Enterprise')", A4:J39)</f>
        <v/>
      </c>
    </row>
    <row r="44" ht="26" customHeight="1">
      <c r="A44" s="12" t="inlineStr">
        <is>
          <t>2. Top Revenue SKU — Finds the highest single order revenue SKU code</t>
        </is>
      </c>
      <c r="G44" s="13">
        <f>ORG.EXTENSION.WRITERAGENT.PYTHONFUNCTION.PY("max(data[1:], key=lambda r: r[7])[8]", A4:J39)</f>
        <v/>
      </c>
    </row>
    <row r="45" ht="26" customHeight="1">
      <c r="A45" s="12" t="inlineStr">
        <is>
          <t>3. Avg Units per Order — Calculates average units purchased per transaction</t>
        </is>
      </c>
      <c r="G45" s="13">
        <f>ORG.EXTENSION.WRITERAGENT.PYTHONFUNCTION.PY("round(np.mean([r[5] for r in data[1:]]), 1)", A4:J39)</f>
        <v/>
      </c>
    </row>
    <row r="46" ht="26" customHeight="1">
      <c r="A46" s="12" t="inlineStr">
        <is>
          <t>4. High-Value Threshold (mean plus 2 standard deviations) — Revenue cutoff: mean plus two population standard deviations</t>
        </is>
      </c>
      <c r="G46" s="13">
        <f>ORG.EXTENSION.WRITERAGENT.PYTHONFUNCTION.PY("rev = [r[7] for r in data[1:]]; round(np.mean(rev) + 2 * np.std(rev), 2)", A4:J39)</f>
        <v/>
      </c>
    </row>
    <row r="47" ht="26" customHeight="1">
      <c r="A47" s="12" t="inlineStr">
        <is>
          <t>5. High Value Orders (above threshold) — Flags orders more than 2 standard deviations above the mean</t>
        </is>
      </c>
      <c r="G47" s="13">
        <f>ORG.EXTENSION.WRITERAGENT.PYTHONFUNCTION.PY("sum(r[7] &gt; data[1] for r in data[0][1:])", A4:J39, F46)</f>
        <v/>
      </c>
    </row>
  </sheetData>
  <mergeCells count="13">
    <mergeCell ref="G44:J44"/>
    <mergeCell ref="G46:J46"/>
    <mergeCell ref="A1:J1"/>
    <mergeCell ref="A47:F47"/>
    <mergeCell ref="A46:F46"/>
    <mergeCell ref="A44:F44"/>
    <mergeCell ref="A45:F45"/>
    <mergeCell ref="G43:J43"/>
    <mergeCell ref="A3:J3"/>
    <mergeCell ref="G47:J47"/>
    <mergeCell ref="A42:J42"/>
    <mergeCell ref="G45:J4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~ 0.80)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(~$5.07)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ORG.EXTENSION.WRITERAGENT.PYTHONFUNCTION.PY("max(data[1:], key=lambda r: r[4] - r[2] - r[3])[1]",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ORG.EXTENSION.WRITERAGENT.PYTHONFUNCTION.PY("data[0][1:][max(range(4),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ORG.EXTENSION.WRITERAGENT.PYTHONFUNCTION.PY("data[0][1:][min(range(4), key=lambda c: np.var([r[c+1] for r in data[1:]]))]",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🦆 SQL / DuckDB — Sheet ranges and sibling files</t>
        </is>
      </c>
    </row>
    <row r="2" ht="24" customHeight="1">
      <c r="A2" s="2" t="inlineStr">
        <is>
          <t>Read-only DuckDB SQL over {sheet} / {named_range} identities, plus a live =PY() join to sibling zip_income.csv</t>
        </is>
      </c>
    </row>
    <row r="3"/>
    <row r="4">
      <c r="A4" s="16" t="inlineStr">
        <is>
          <t>Sibling zip_income.csv is U.S. Census ACS 2024 5-year table B19013 (median household income; S1903 subject-table equivalent) by ZIP Code Tabulation Area (ZCTA) — reference data you would not keep in the company workbook. RESULTS: =PY(short code, data_range, sql_range) — data[0] is the sheet (named range SalesData / MarketingData), data[1] is the SQL cells above (joined with newlines). Sheet-only uses session_duckdb(); the ZIP join is live run_sql(..., files={zip_income: zip_income.csv}, scoped_dir). Prefer catalog identity {sheet: "Sales_Analytics"} (used range), {named_range: "SalesData"}, or sibling file#Sheet (budget.xlsx#Actuals) — not frozen A1. Regenerate: python scripts/generate_pretty_demo_spreadsheet.py --format all</t>
        </is>
      </c>
    </row>
    <row r="5"/>
    <row r="6"/>
    <row r="7"/>
    <row r="8">
      <c r="A8" s="16" t="inlineStr">
        <is>
          <t>Stable table identity (tool catalog — not frozen A1): {sheet: "Sales_Analytics"} = used range of that sheet; {named_range: "SalesData"} = this workbook's SalesData name; files={zip_income: "zip_income.csv"} = sibling CSV; files={budget: "budget.xlsx#Actuals"} = sibling sheet used range. Live =PY() still passes a Calc name/range so RESULTS dirty when you edit.</t>
        </is>
      </c>
    </row>
    <row r="9"/>
    <row r="10"/>
    <row r="11"/>
    <row r="12" ht="22" customHeight="1">
      <c r="A12" s="3" t="inlineStr">
        <is>
          <t>1. Sheet-only: sales by Region × Category</t>
        </is>
      </c>
    </row>
    <row r="13" ht="28" customHeight="1">
      <c r="A13" s="17" t="inlineStr">
        <is>
          <t>DuckDB GROUP BY on {sheet: "Sales_Analytics"} / {named_range: "SalesData"} (used-range identity, not frozen A1). Edit the SQL cells — RESULTS reads SalesData via =PY() + session_duckdb().</t>
        </is>
      </c>
    </row>
    <row r="14">
      <c r="A14" s="18" t="inlineStr">
        <is>
          <t>SQL (edit this text — this is the query)</t>
        </is>
      </c>
    </row>
    <row r="15" ht="18" customHeight="1">
      <c r="A15" s="19" t="inlineStr">
        <is>
          <t>SELECT Region, Category,</t>
        </is>
      </c>
    </row>
    <row r="16" ht="18" customHeight="1">
      <c r="A16" s="19" t="inlineStr">
        <is>
          <t xml:space="preserve">       SUM(Revenue) AS revenue,</t>
        </is>
      </c>
    </row>
    <row r="17" ht="18" customHeight="1">
      <c r="A17" s="19" t="inlineStr">
        <is>
          <t xml:space="preserve">       COUNT(*) AS orders</t>
        </is>
      </c>
    </row>
    <row r="18" ht="18" customHeight="1">
      <c r="A18" s="19" t="inlineStr">
        <is>
          <t>FROM sales</t>
        </is>
      </c>
    </row>
    <row r="19" ht="18" customHeight="1">
      <c r="A19" s="19" t="inlineStr">
        <is>
          <t>GROUP BY Region, Category</t>
        </is>
      </c>
    </row>
    <row r="20" ht="18" customHeight="1">
      <c r="A20" s="19" t="inlineStr">
        <is>
          <t>ORDER BY Region, Category</t>
        </is>
      </c>
    </row>
    <row r="21"/>
    <row r="22">
      <c r="A22" s="3" t="inlineStr">
        <is>
          <t>RESULTS</t>
        </is>
      </c>
    </row>
    <row r="23" ht="36" customHeight="1">
      <c r="A23" s="20">
        <f>ORG.EXTENSION.WRITERAGENT.PYTHONFUNCTION.PY("sql=chr(10).join(str(c) for r in data[1] for c in r if c); con=session_duckdb(); con.register('sales', data[0].to_pandas()); result=con.sql(sql).df()", SalesData, A15:A20)</f>
        <v/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 ht="22" customHeight="1">
      <c r="A39" s="3" t="inlineStr">
        <is>
          <t>2. Sheet-only: marketing channel ROAS</t>
        </is>
      </c>
    </row>
    <row r="40" ht="28" customHeight="1">
      <c r="A40" s="17" t="inlineStr">
        <is>
          <t>Aggregate KPI on {sheet: "Statistics_ML"} / {named_range: "MarketingData"}. Edit the SQL cells — RESULTS reads MarketingData via =PY() + session_duckdb().</t>
        </is>
      </c>
    </row>
    <row r="41">
      <c r="A41" s="18" t="inlineStr">
        <is>
          <t>SQL (edit this text — this is the query)</t>
        </is>
      </c>
    </row>
    <row r="42" ht="18" customHeight="1">
      <c r="A42" s="19" t="inlineStr">
        <is>
          <t>SELECT Channel,</t>
        </is>
      </c>
    </row>
    <row r="43" ht="18" customHeight="1">
      <c r="A43" s="19" t="inlineStr">
        <is>
          <t xml:space="preserve">       SUM(Ad_Spend) AS ad_spend,</t>
        </is>
      </c>
    </row>
    <row r="44" ht="18" customHeight="1">
      <c r="A44" s="19" t="inlineStr">
        <is>
          <t xml:space="preserve">       SUM(Revenue) AS revenue,</t>
        </is>
      </c>
    </row>
    <row r="45" ht="18" customHeight="1">
      <c r="A45" s="19" t="inlineStr">
        <is>
          <t xml:space="preserve">       ROUND(SUM(Revenue) / NULLIF(SUM(Ad_Spend), 0), 2) AS roas</t>
        </is>
      </c>
    </row>
    <row r="46" ht="18" customHeight="1">
      <c r="A46" s="19" t="inlineStr">
        <is>
          <t>FROM marketing</t>
        </is>
      </c>
    </row>
    <row r="47" ht="18" customHeight="1">
      <c r="A47" s="19" t="inlineStr">
        <is>
          <t>GROUP BY Channel</t>
        </is>
      </c>
    </row>
    <row r="48" ht="18" customHeight="1">
      <c r="A48" s="19" t="inlineStr">
        <is>
          <t>ORDER BY revenue DESC</t>
        </is>
      </c>
    </row>
    <row r="49"/>
    <row r="50">
      <c r="A50" s="3" t="inlineStr">
        <is>
          <t>RESULTS</t>
        </is>
      </c>
    </row>
    <row r="51" ht="36" customHeight="1">
      <c r="A51" s="20">
        <f>ORG.EXTENSION.WRITERAGENT.PYTHONFUNCTION.PY("sql=chr(10).join(str(c) for r in data[1] for c in r if c); con=session_duckdb(); con.register('marketing', data[0].to_pandas()); result=con.sql(sql).df()", MarketingData, A42:A48)</f>
        <v/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 ht="22" customHeight="1">
      <c r="A67" s="3" t="inlineStr">
        <is>
          <t>3. Live join: sales {sheet} ⨝ sibling zip_income.csv</t>
        </is>
      </c>
    </row>
    <row r="68" ht="28" customHeight="1">
      <c r="A68" s="17" t="inlineStr">
        <is>
          <t>Live =PY() joins {sheet: "Sales_Analytics"} (SalesData) to sibling zip_income.csv via run_sql + scoped_dir. Same catalog as query_folder_sql tables={{sales: {{sheet: "Sales_Analytics"}}}} files={zip_income: zip_income.csv}. Sibling office sheets use file#Sheet (budget.xlsx#Actuals).</t>
        </is>
      </c>
    </row>
    <row r="69">
      <c r="A69" s="18" t="inlineStr">
        <is>
          <t>SQL (edit this text — this is the query)</t>
        </is>
      </c>
    </row>
    <row r="70" ht="18" customHeight="1">
      <c r="A70" s="19" t="inlineStr">
        <is>
          <t>SELECT</t>
        </is>
      </c>
    </row>
    <row r="71" ht="18" customHeight="1">
      <c r="A71" s="19" t="inlineStr">
        <is>
          <t xml:space="preserve">  CASE</t>
        </is>
      </c>
    </row>
    <row r="72" ht="18" customHeight="1">
      <c r="A72" s="19" t="inlineStr">
        <is>
          <t xml:space="preserve">    WHEN z.median_household_income &lt; 75000 THEN 'Under $75k'</t>
        </is>
      </c>
    </row>
    <row r="73" ht="18" customHeight="1">
      <c r="A73" s="19" t="inlineStr">
        <is>
          <t xml:space="preserve">    WHEN z.median_household_income &lt; 120000 THEN '$75k-$120k'</t>
        </is>
      </c>
    </row>
    <row r="74" ht="18" customHeight="1">
      <c r="A74" s="19" t="inlineStr">
        <is>
          <t xml:space="preserve">    ELSE '$120k+'</t>
        </is>
      </c>
    </row>
    <row r="75" ht="18" customHeight="1">
      <c r="A75" s="19" t="inlineStr">
        <is>
          <t xml:space="preserve">  END AS income_band,</t>
        </is>
      </c>
    </row>
    <row r="76" ht="18" customHeight="1">
      <c r="A76" s="19" t="inlineStr">
        <is>
          <t xml:space="preserve">  ROUND(SUM(s.Revenue), 2) AS revenue,</t>
        </is>
      </c>
    </row>
    <row r="77" ht="18" customHeight="1">
      <c r="A77" s="19" t="inlineStr">
        <is>
          <t xml:space="preserve">  ROUND(AVG(z.median_household_income), 0) AS avg_zip_income,</t>
        </is>
      </c>
    </row>
    <row r="78" ht="18" customHeight="1">
      <c r="A78" s="19" t="inlineStr">
        <is>
          <t xml:space="preserve">  COUNT(*) AS orders</t>
        </is>
      </c>
    </row>
    <row r="79" ht="18" customHeight="1">
      <c r="A79" s="19" t="inlineStr">
        <is>
          <t>FROM sales s</t>
        </is>
      </c>
    </row>
    <row r="80" ht="18" customHeight="1">
      <c r="A80" s="19" t="inlineStr">
        <is>
          <t>JOIN zip_income z</t>
        </is>
      </c>
    </row>
    <row r="81" ht="18" customHeight="1">
      <c r="A81" s="19" t="inlineStr">
        <is>
          <t xml:space="preserve">  ON LPAD(CAST(CAST(ROUND(TRY_CAST(s.ZIP AS DOUBLE)) AS INTEGER) AS VARCHAR), 5, '0')</t>
        </is>
      </c>
    </row>
    <row r="82" ht="18" customHeight="1">
      <c r="A82" s="19" t="inlineStr">
        <is>
          <t xml:space="preserve">   = LPAD(CAST(CAST(ROUND(TRY_CAST(z.zip AS DOUBLE)) AS INTEGER) AS VARCHAR), 5, '0')</t>
        </is>
      </c>
    </row>
    <row r="83" ht="18" customHeight="1">
      <c r="A83" s="19" t="inlineStr">
        <is>
          <t>GROUP BY 1</t>
        </is>
      </c>
    </row>
    <row r="84" ht="18" customHeight="1">
      <c r="A84" s="19" t="inlineStr">
        <is>
          <t>ORDER BY 1</t>
        </is>
      </c>
    </row>
    <row r="85"/>
    <row r="86">
      <c r="A86" s="3" t="inlineStr">
        <is>
          <t>RESULTS</t>
        </is>
      </c>
    </row>
    <row r="87" ht="36" customHeight="1">
      <c r="A87" s="20">
        <f>ORG.EXTENSION.WRITERAGENT.PYTHONFUNCTION.PY("sql=chr(10).join(str(c) for r in data[1] for c in r if c); result=run_sql(sql,{'sales':data[0]},{'zip_income':'zip_income.csv'},scoped_dir)", SalesData, A70:A84)</f>
        <v/>
      </c>
    </row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22" customHeight="1">
      <c r="A103" s="17" t="inlineStr">
        <is>
          <t>Edit the SQL cells — live RESULTS recalc through Calc's DAG. Sibling CSV is scoped_dir, not a formula argument.</t>
        </is>
      </c>
    </row>
  </sheetData>
  <mergeCells count="45">
    <mergeCell ref="A67:H67"/>
    <mergeCell ref="A48:H48"/>
    <mergeCell ref="A39:H39"/>
    <mergeCell ref="A77:H77"/>
    <mergeCell ref="A15:H15"/>
    <mergeCell ref="A83:H83"/>
    <mergeCell ref="A73:H73"/>
    <mergeCell ref="A82:H82"/>
    <mergeCell ref="A1:H1"/>
    <mergeCell ref="A45:H45"/>
    <mergeCell ref="A103:H103"/>
    <mergeCell ref="A79:H79"/>
    <mergeCell ref="A70:H70"/>
    <mergeCell ref="A78:H78"/>
    <mergeCell ref="A69:H69"/>
    <mergeCell ref="A16:H16"/>
    <mergeCell ref="A4:H6"/>
    <mergeCell ref="A41:H41"/>
    <mergeCell ref="A80:H80"/>
    <mergeCell ref="A46:H46"/>
    <mergeCell ref="A75:H75"/>
    <mergeCell ref="A84:H84"/>
    <mergeCell ref="A74:H74"/>
    <mergeCell ref="A12:H12"/>
    <mergeCell ref="A18:H18"/>
    <mergeCell ref="A50:H50"/>
    <mergeCell ref="A86:H86"/>
    <mergeCell ref="A2:H2"/>
    <mergeCell ref="A71:H71"/>
    <mergeCell ref="A42:H42"/>
    <mergeCell ref="A76:H76"/>
    <mergeCell ref="A14:H14"/>
    <mergeCell ref="A47:H47"/>
    <mergeCell ref="A22:H22"/>
    <mergeCell ref="A17:H17"/>
    <mergeCell ref="A8:H10"/>
    <mergeCell ref="A20:H20"/>
    <mergeCell ref="A43:H43"/>
    <mergeCell ref="A81:H81"/>
    <mergeCell ref="A72:H72"/>
    <mergeCell ref="A13:H13"/>
    <mergeCell ref="A19:H19"/>
    <mergeCell ref="A44:H44"/>
    <mergeCell ref="A68:H68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2026-09-05T15:10:06Z</dcterms:created>
  <dcterms:modified xmlns:dcterms="http://purl.org/dc/terms/" xmlns:xsi="http://www.w3.org/2001/XMLSchema-instance" xsi:type="dcterms:W3CDTF">2026-09-05T15:10:06Z</dcterms:modified>
</cp:coreProperties>
</file>